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3a7c7555be42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uentes" sheetId="1" r:id="Rb8ba7a0d1f9b4a5a"/>
    <x:sheet xmlns:r="http://schemas.openxmlformats.org/officeDocument/2006/relationships" name="EEFF_Historicos" sheetId="2" r:id="R439b62870bc4452e"/>
    <x:sheet xmlns:r="http://schemas.openxmlformats.org/officeDocument/2006/relationships" name="Razones_Financieras" sheetId="3" r:id="R2b7cfa23bbdc45e4"/>
    <x:sheet xmlns:r="http://schemas.openxmlformats.org/officeDocument/2006/relationships" name="Supuestos_Proyecto" sheetId="4" r:id="R4947bede46b44072"/>
    <x:sheet xmlns:r="http://schemas.openxmlformats.org/officeDocument/2006/relationships" name="Flujo_Proyecto" sheetId="5" r:id="R5a8639b21ad042ac"/>
    <x:sheet xmlns:r="http://schemas.openxmlformats.org/officeDocument/2006/relationships" name="Financiamiento" sheetId="6" r:id="R2bfd6ebde7f54d8e"/>
    <x:sheet xmlns:r="http://schemas.openxmlformats.org/officeDocument/2006/relationships" name="Escenarios" sheetId="7" r:id="Re4f3d16ada00414a"/>
    <x:sheet xmlns:r="http://schemas.openxmlformats.org/officeDocument/2006/relationships" name="Sensibilidad" sheetId="8" r:id="R4b2a2f1c7b834808"/>
    <x:sheet xmlns:r="http://schemas.openxmlformats.org/officeDocument/2006/relationships" name="Valoracion" sheetId="9" r:id="Rc18cf3e3dfe84806"/>
    <x:sheet xmlns:r="http://schemas.openxmlformats.org/officeDocument/2006/relationships" name="Riesgos" sheetId="10" r:id="R81ca3d188e7a4678"/>
    <x:sheet xmlns:r="http://schemas.openxmlformats.org/officeDocument/2006/relationships" name="Resumen" sheetId="11" r:id="R85533809efcb4b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9">
    <x:numFmt numFmtId="200" formatCode="$#,##0;[Red]($#,##0);-"/>
    <x:numFmt numFmtId="201" formatCode="#,##0.00;[Red](#,##0.00);-"/>
    <x:numFmt numFmtId="202" formatCode="0.0%;[Red](0.0%);-"/>
    <x:numFmt numFmtId="203" formatCode="0.0x;[Red](0.0x);-"/>
    <x:numFmt numFmtId="204" formatCode="0.00%;[Red](0.00%);-"/>
    <x:numFmt numFmtId="205" formatCode="0.00 &quot;años&quot;"/>
    <x:numFmt numFmtId="206" formatCode="#,##0.0;[Red](#,##0.0);-"/>
    <x:numFmt numFmtId="207" formatCode="$0.000"/>
    <x:numFmt numFmtId="208" formatCode="0 &quot;años&quot;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  <x:font>
      <x:b/>
      <x:sz val="11"/>
      <x:name val="Carlito"/>
    </x:font>
    <x:font>
      <x:b/>
      <x:sz val="12"/>
      <x:color rgb="FFFFFFFF"/>
      <x:name val="Carlito"/>
    </x:font>
    <x:font>
      <x:b/>
      <x:sz val="20"/>
      <x:color rgb="FF008000"/>
      <x:name val="Carlito"/>
    </x:font>
    <x:font>
      <x:b/>
      <x:sz val="20"/>
      <x:color rgb="FF0000FF"/>
      <x:name val="Carlito"/>
    </x:font>
    <x:font>
      <x:b/>
      <x:sz val="12"/>
      <x:name val="Carlito"/>
    </x:font>
    <x:font>
      <x:i/>
      <x:sz val="11"/>
      <x:color rgb="FF008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23F6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FFF"/>
      </x:patternFill>
    </x:fill>
  </x:fills>
  <x:borders count="12">
    <x:border/>
    <x:border/>
    <x:border>
      <x:bottom/>
    </x:border>
    <x:border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2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3" xfId="0" applyNumberFormat="1" applyFont="1" applyFill="1" applyBorder="1"/>
    <x:xf numFmtId="0" fontId="2" fillId="2" borderId="3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3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1" fontId="4" fillId="0" borderId="1" xfId="0" applyNumberFormat="1" applyFont="1" applyFill="1" applyBorder="1"/>
    <x:xf numFmtId="202" fontId="4" fillId="0" borderId="0" xfId="0" applyNumberFormat="1" applyFont="1" applyFill="1" applyBorder="1"/>
    <x:xf numFmtId="202" fontId="4" fillId="0" borderId="1" xfId="0" applyNumberFormat="1" applyFont="1" applyFill="1" applyBorder="1"/>
    <x:xf numFmtId="203" fontId="4" fillId="0" borderId="0" xfId="0" applyNumberFormat="1" applyFont="1" applyFill="1" applyBorder="1"/>
    <x:xf numFmtId="203" fontId="4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201" fontId="3" fillId="3" borderId="0" xfId="0" applyNumberFormat="1" applyFont="1" applyFill="1" applyBorder="1"/>
    <x:xf numFmtId="201" fontId="3" fillId="3" borderId="1" xfId="0" applyNumberFormat="1" applyFont="1" applyFill="1" applyBorder="1"/>
    <x:xf numFmtId="204" fontId="3" fillId="3" borderId="0" xfId="0" applyNumberFormat="1" applyFont="1" applyFill="1" applyBorder="1"/>
    <x:xf numFmtId="204" fontId="3" fillId="3" borderId="1" xfId="0" applyNumberFormat="1" applyFont="1" applyFill="1" applyBorder="1"/>
    <x:xf numFmtId="203" fontId="3" fillId="3" borderId="0" xfId="0" applyNumberFormat="1" applyFont="1" applyFill="1" applyBorder="1"/>
    <x:xf numFmtId="203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left"/>
    </x:xf>
    <x:xf numFmtId="0" fontId="2" fillId="2" borderId="1" xfId="0" applyNumberFormat="1" applyFont="1" applyFill="1" applyBorder="1" applyAlignment="1">
      <x:alignment horizontal="left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4" fontId="5" fillId="0" borderId="0" xfId="0" applyNumberFormat="1" applyFont="1" applyFill="1" applyBorder="1"/>
    <x:xf numFmtId="204" fontId="5" fillId="0" borderId="1" xfId="0" applyNumberFormat="1" applyFont="1" applyFill="1" applyBorder="1"/>
    <x:xf numFmtId="201" fontId="3" fillId="3" borderId="0" xfId="0" applyNumberFormat="1" applyFont="1" applyFill="1" applyBorder="1" applyAlignment="1">
      <x:alignment wrapText="1"/>
    </x:xf>
    <x:xf numFmtId="204" fontId="3" fillId="3" borderId="0" xfId="0" applyNumberFormat="1" applyFont="1" applyFill="1" applyBorder="1" applyAlignment="1">
      <x:alignment wrapText="1"/>
    </x:xf>
    <x:xf numFmtId="203" fontId="3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left" wrapText="1"/>
    </x:xf>
    <x:xf numFmtId="204" fontId="5" fillId="0" borderId="0" xfId="0" applyNumberFormat="1" applyFont="1" applyFill="1" applyBorder="1" applyAlignment="1">
      <x:alignment wrapText="1"/>
    </x:xf>
    <x:xf numFmtId="201" fontId="3" fillId="3" borderId="1" xfId="0" applyNumberFormat="1" applyFont="1" applyFill="1" applyBorder="1" applyAlignment="1">
      <x:alignment wrapText="1"/>
    </x:xf>
    <x:xf numFmtId="204" fontId="3" fillId="3" borderId="1" xfId="0" applyNumberFormat="1" applyFont="1" applyFill="1" applyBorder="1" applyAlignment="1">
      <x:alignment wrapText="1"/>
    </x:xf>
    <x:xf numFmtId="203" fontId="3" fillId="3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left" wrapText="1"/>
    </x:xf>
    <x:xf numFmtId="204" fontId="5" fillId="0" borderId="1" xfId="0" applyNumberFormat="1" applyFont="1" applyFill="1" applyBorder="1" applyAlignment="1">
      <x:alignment wrapText="1"/>
    </x:xf>
    <x:xf numFmtId="200" fontId="5" fillId="0" borderId="0" xfId="0" applyNumberFormat="1" applyFont="1" applyFill="1" applyBorder="1"/>
    <x:xf numFmtId="200" fontId="5" fillId="0" borderId="1" xfId="0" applyNumberFormat="1" applyFont="1" applyFill="1" applyBorder="1"/>
    <x:xf numFmtId="201" fontId="5" fillId="0" borderId="0" xfId="0" applyNumberFormat="1" applyFont="1" applyFill="1" applyBorder="1"/>
    <x:xf numFmtId="201" fontId="5" fillId="0" borderId="1" xfId="0" applyNumberFormat="1" applyFont="1" applyFill="1" applyBorder="1"/>
    <x:xf numFmtId="205" fontId="3" fillId="0" borderId="0" xfId="0" applyNumberFormat="1" applyFont="1" applyFill="1" applyBorder="1"/>
    <x:xf numFmtId="205" fontId="3" fillId="0" borderId="1" xfId="0" applyNumberFormat="1" applyFont="1" applyFill="1" applyBorder="1"/>
    <x:xf numFmtId="0" fontId="5" fillId="4" borderId="0" xfId="0" applyNumberFormat="1" applyFont="1" applyFill="1" applyBorder="1"/>
    <x:xf numFmtId="0" fontId="5" fillId="4" borderId="1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6" fontId="4" fillId="0" borderId="0" xfId="0" applyNumberFormat="1" applyFont="1" applyFill="1" applyBorder="1"/>
    <x:xf numFmtId="207" fontId="4" fillId="0" borderId="0" xfId="0" applyNumberFormat="1" applyFont="1" applyFill="1" applyBorder="1"/>
    <x:xf numFmtId="200" fontId="4" fillId="0" borderId="0" xfId="0" applyNumberFormat="1" applyFont="1" applyFill="1" applyBorder="1"/>
    <x:xf numFmtId="206" fontId="4" fillId="0" borderId="1" xfId="0" applyNumberFormat="1" applyFont="1" applyFill="1" applyBorder="1"/>
    <x:xf numFmtId="207" fontId="4" fillId="0" borderId="1" xfId="0" applyNumberFormat="1" applyFont="1" applyFill="1" applyBorder="1"/>
    <x:xf numFmtId="200" fontId="4" fillId="0" borderId="1" xfId="0" applyNumberFormat="1" applyFont="1" applyFill="1" applyBorder="1"/>
    <x:xf numFmtId="204" fontId="3" fillId="0" borderId="0" xfId="0" applyNumberFormat="1" applyFont="1" applyFill="1" applyBorder="1"/>
    <x:xf numFmtId="204" fontId="3" fillId="0" borderId="1" xfId="0" applyNumberFormat="1" applyFont="1" applyFill="1" applyBorder="1"/>
    <x:xf numFmtId="208" fontId="3" fillId="0" borderId="0" xfId="0" applyNumberFormat="1" applyFont="1" applyFill="1" applyBorder="1"/>
    <x:xf numFmtId="208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7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center" wrapText="1"/>
    </x:xf>
    <x:xf numFmtId="203" fontId="5" fillId="0" borderId="0" xfId="0" applyNumberFormat="1" applyFont="1" applyFill="1" applyBorder="1"/>
    <x:xf numFmtId="203" fontId="5" fillId="0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wrapText="1"/>
    </x:xf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wrapText="1"/>
    </x:xf>
    <x:xf numFmtId="0" fontId="7" fillId="5" borderId="0" xfId="0" applyNumberFormat="1" applyFont="1" applyFill="1" applyBorder="1" applyAlignment="1">
      <x:alignment vertical="center" wrapText="1"/>
    </x:xf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wrapText="1"/>
    </x:xf>
    <x:xf numFmtId="0" fontId="7" fillId="5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top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top"/>
    </x:xf>
    <x:xf numFmtId="0" fontId="2" fillId="2" borderId="0" xfId="0" applyNumberFormat="1" applyFont="1" applyFill="1" applyBorder="1" applyAlignment="1">
      <x:alignment horizontal="center"/>
    </x:xf>
    <x:xf numFmtId="0" fontId="8" fillId="2" borderId="0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/>
    </x:xf>
    <x:xf numFmtId="0" fontId="8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1" xfId="0" applyNumberFormat="1" applyFont="1" applyFill="1" applyBorder="1"/>
    <x:xf numFmtId="0" fontId="0" fillId="6" borderId="1" xfId="0" applyNumberFormat="1" applyFont="1" applyFill="1" applyBorder="1"/>
    <x:xf numFmtId="0" fontId="9" fillId="6" borderId="0" xfId="0" applyNumberFormat="1" applyFont="1" applyFill="1" applyBorder="1"/>
    <x:xf numFmtId="0" fontId="9" fillId="6" borderId="1" xfId="0" applyNumberFormat="1" applyFont="1" applyFill="1" applyBorder="1"/>
    <x:xf numFmtId="0" fontId="9" fillId="6" borderId="0" xfId="0" applyNumberFormat="1" applyFont="1" applyFill="1" applyBorder="1" applyAlignment="1">
      <x:alignment horizontal="center"/>
    </x:xf>
    <x:xf numFmtId="0" fontId="9" fillId="6" borderId="1" xfId="0" applyNumberFormat="1" applyFont="1" applyFill="1" applyBorder="1" applyAlignment="1">
      <x:alignment horizontal="center"/>
    </x:xf>
    <x:xf numFmtId="0" fontId="9" fillId="6" borderId="0" xfId="0" applyNumberFormat="1" applyFont="1" applyFill="1" applyBorder="1" applyAlignment="1">
      <x:alignment horizontal="center" vertical="center"/>
    </x:xf>
    <x:xf numFmtId="0" fontId="9" fillId="6" borderId="1" xfId="0" applyNumberFormat="1" applyFont="1" applyFill="1" applyBorder="1" applyAlignment="1">
      <x:alignment horizontal="center" vertical="center"/>
    </x:xf>
    <x:xf numFmtId="0" fontId="9" fillId="6" borderId="4" xfId="0" applyNumberFormat="1" applyFont="1" applyFill="1" applyBorder="1" applyAlignment="1">
      <x:alignment horizontal="center" vertical="center"/>
    </x:xf>
    <x:xf numFmtId="0" fontId="9" fillId="6" borderId="5" xfId="0" applyNumberFormat="1" applyFont="1" applyFill="1" applyBorder="1" applyAlignment="1">
      <x:alignment horizontal="center" vertical="center"/>
    </x:xf>
    <x:xf numFmtId="0" fontId="9" fillId="6" borderId="6" xfId="0" applyNumberFormat="1" applyFont="1" applyFill="1" applyBorder="1" applyAlignment="1">
      <x:alignment horizontal="center" vertical="center"/>
    </x:xf>
    <x:xf numFmtId="0" fontId="9" fillId="6" borderId="7" xfId="0" applyNumberFormat="1" applyFont="1" applyFill="1" applyBorder="1" applyAlignment="1">
      <x:alignment horizontal="center" vertical="center"/>
    </x:xf>
    <x:xf numFmtId="0" fontId="9" fillId="6" borderId="8" xfId="0" applyNumberFormat="1" applyFont="1" applyFill="1" applyBorder="1" applyAlignment="1">
      <x:alignment horizontal="center" vertical="center"/>
    </x:xf>
    <x:xf numFmtId="0" fontId="9" fillId="6" borderId="9" xfId="0" applyNumberFormat="1" applyFont="1" applyFill="1" applyBorder="1" applyAlignment="1">
      <x:alignment horizontal="center" vertical="center"/>
    </x:xf>
    <x:xf numFmtId="0" fontId="9" fillId="6" borderId="10" xfId="0" applyNumberFormat="1" applyFont="1" applyFill="1" applyBorder="1" applyAlignment="1">
      <x:alignment horizontal="center" vertical="center"/>
    </x:xf>
    <x:xf numFmtId="0" fontId="9" fillId="6" borderId="11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0" fillId="6" borderId="0" xfId="0" applyNumberFormat="1" applyFont="1" applyFill="1" applyBorder="1" applyAlignment="1">
      <x:alignment horizontal="center"/>
    </x:xf>
    <x:xf numFmtId="0" fontId="10" fillId="6" borderId="1" xfId="0" applyNumberFormat="1" applyFont="1" applyFill="1" applyBorder="1" applyAlignment="1">
      <x:alignment horizontal="center"/>
    </x:xf>
    <x:xf numFmtId="0" fontId="10" fillId="6" borderId="0" xfId="0" applyNumberFormat="1" applyFont="1" applyFill="1" applyBorder="1" applyAlignment="1">
      <x:alignment horizontal="center" vertical="center"/>
    </x:xf>
    <x:xf numFmtId="0" fontId="10" fillId="6" borderId="1" xfId="0" applyNumberFormat="1" applyFont="1" applyFill="1" applyBorder="1" applyAlignment="1">
      <x:alignment horizontal="center" vertical="center"/>
    </x:xf>
    <x:xf numFmtId="0" fontId="10" fillId="6" borderId="4" xfId="0" applyNumberFormat="1" applyFont="1" applyFill="1" applyBorder="1" applyAlignment="1">
      <x:alignment horizontal="center" vertical="center"/>
    </x:xf>
    <x:xf numFmtId="0" fontId="10" fillId="6" borderId="5" xfId="0" applyNumberFormat="1" applyFont="1" applyFill="1" applyBorder="1" applyAlignment="1">
      <x:alignment horizontal="center" vertical="center"/>
    </x:xf>
    <x:xf numFmtId="0" fontId="10" fillId="6" borderId="6" xfId="0" applyNumberFormat="1" applyFont="1" applyFill="1" applyBorder="1" applyAlignment="1">
      <x:alignment horizontal="center" vertical="center"/>
    </x:xf>
    <x:xf numFmtId="0" fontId="10" fillId="6" borderId="7" xfId="0" applyNumberFormat="1" applyFont="1" applyFill="1" applyBorder="1" applyAlignment="1">
      <x:alignment horizontal="center" vertical="center"/>
    </x:xf>
    <x:xf numFmtId="0" fontId="10" fillId="6" borderId="8" xfId="0" applyNumberFormat="1" applyFont="1" applyFill="1" applyBorder="1" applyAlignment="1">
      <x:alignment horizontal="center" vertical="center"/>
    </x:xf>
    <x:xf numFmtId="0" fontId="10" fillId="6" borderId="9" xfId="0" applyNumberFormat="1" applyFont="1" applyFill="1" applyBorder="1" applyAlignment="1">
      <x:alignment horizontal="center" vertical="center"/>
    </x:xf>
    <x:xf numFmtId="0" fontId="10" fillId="6" borderId="10" xfId="0" applyNumberFormat="1" applyFont="1" applyFill="1" applyBorder="1" applyAlignment="1">
      <x:alignment horizontal="center" vertical="center"/>
    </x:xf>
    <x:xf numFmtId="0" fontId="10" fillId="6" borderId="11" xfId="0" applyNumberFormat="1" applyFont="1" applyFill="1" applyBorder="1" applyAlignment="1">
      <x:alignment horizontal="center" vertical="center"/>
    </x:xf>
    <x:xf numFmtId="200" fontId="9" fillId="6" borderId="4" xfId="0" applyNumberFormat="1" applyFont="1" applyFill="1" applyBorder="1" applyAlignment="1">
      <x:alignment horizontal="center" vertical="center"/>
    </x:xf>
    <x:xf numFmtId="200" fontId="9" fillId="6" borderId="5" xfId="0" applyNumberFormat="1" applyFont="1" applyFill="1" applyBorder="1" applyAlignment="1">
      <x:alignment horizontal="center" vertical="center"/>
    </x:xf>
    <x:xf numFmtId="200" fontId="9" fillId="6" borderId="6" xfId="0" applyNumberFormat="1" applyFont="1" applyFill="1" applyBorder="1" applyAlignment="1">
      <x:alignment horizontal="center" vertical="center"/>
    </x:xf>
    <x:xf numFmtId="200" fontId="9" fillId="6" borderId="7" xfId="0" applyNumberFormat="1" applyFont="1" applyFill="1" applyBorder="1" applyAlignment="1">
      <x:alignment horizontal="center" vertical="center"/>
    </x:xf>
    <x:xf numFmtId="200" fontId="9" fillId="6" borderId="8" xfId="0" applyNumberFormat="1" applyFont="1" applyFill="1" applyBorder="1" applyAlignment="1">
      <x:alignment horizontal="center" vertical="center"/>
    </x:xf>
    <x:xf numFmtId="200" fontId="9" fillId="6" borderId="9" xfId="0" applyNumberFormat="1" applyFont="1" applyFill="1" applyBorder="1" applyAlignment="1">
      <x:alignment horizontal="center" vertical="center"/>
    </x:xf>
    <x:xf numFmtId="200" fontId="9" fillId="6" borderId="10" xfId="0" applyNumberFormat="1" applyFont="1" applyFill="1" applyBorder="1" applyAlignment="1">
      <x:alignment horizontal="center" vertical="center"/>
    </x:xf>
    <x:xf numFmtId="200" fontId="9" fillId="6" borderId="11" xfId="0" applyNumberFormat="1" applyFont="1" applyFill="1" applyBorder="1" applyAlignment="1">
      <x:alignment horizontal="center" vertical="center"/>
    </x:xf>
    <x:xf numFmtId="204" fontId="9" fillId="6" borderId="4" xfId="0" applyNumberFormat="1" applyFont="1" applyFill="1" applyBorder="1" applyAlignment="1">
      <x:alignment horizontal="center" vertical="center"/>
    </x:xf>
    <x:xf numFmtId="204" fontId="9" fillId="6" borderId="5" xfId="0" applyNumberFormat="1" applyFont="1" applyFill="1" applyBorder="1" applyAlignment="1">
      <x:alignment horizontal="center" vertical="center"/>
    </x:xf>
    <x:xf numFmtId="204" fontId="9" fillId="6" borderId="6" xfId="0" applyNumberFormat="1" applyFont="1" applyFill="1" applyBorder="1" applyAlignment="1">
      <x:alignment horizontal="center" vertical="center"/>
    </x:xf>
    <x:xf numFmtId="204" fontId="9" fillId="6" borderId="7" xfId="0" applyNumberFormat="1" applyFont="1" applyFill="1" applyBorder="1" applyAlignment="1">
      <x:alignment horizontal="center" vertical="center"/>
    </x:xf>
    <x:xf numFmtId="204" fontId="9" fillId="6" borderId="8" xfId="0" applyNumberFormat="1" applyFont="1" applyFill="1" applyBorder="1" applyAlignment="1">
      <x:alignment horizontal="center" vertical="center"/>
    </x:xf>
    <x:xf numFmtId="204" fontId="9" fillId="6" borderId="9" xfId="0" applyNumberFormat="1" applyFont="1" applyFill="1" applyBorder="1" applyAlignment="1">
      <x:alignment horizontal="center" vertical="center"/>
    </x:xf>
    <x:xf numFmtId="204" fontId="9" fillId="6" borderId="10" xfId="0" applyNumberFormat="1" applyFont="1" applyFill="1" applyBorder="1" applyAlignment="1">
      <x:alignment horizontal="center" vertical="center"/>
    </x:xf>
    <x:xf numFmtId="204" fontId="9" fillId="6" borderId="11" xfId="0" applyNumberFormat="1" applyFont="1" applyFill="1" applyBorder="1" applyAlignment="1">
      <x:alignment horizontal="center" vertical="center"/>
    </x:xf>
    <x:xf numFmtId="201" fontId="9" fillId="6" borderId="4" xfId="0" applyNumberFormat="1" applyFont="1" applyFill="1" applyBorder="1" applyAlignment="1">
      <x:alignment horizontal="center" vertical="center"/>
    </x:xf>
    <x:xf numFmtId="201" fontId="9" fillId="6" borderId="5" xfId="0" applyNumberFormat="1" applyFont="1" applyFill="1" applyBorder="1" applyAlignment="1">
      <x:alignment horizontal="center" vertical="center"/>
    </x:xf>
    <x:xf numFmtId="201" fontId="9" fillId="6" borderId="6" xfId="0" applyNumberFormat="1" applyFont="1" applyFill="1" applyBorder="1" applyAlignment="1">
      <x:alignment horizontal="center" vertical="center"/>
    </x:xf>
    <x:xf numFmtId="201" fontId="9" fillId="6" borderId="7" xfId="0" applyNumberFormat="1" applyFont="1" applyFill="1" applyBorder="1" applyAlignment="1">
      <x:alignment horizontal="center" vertical="center"/>
    </x:xf>
    <x:xf numFmtId="201" fontId="9" fillId="6" borderId="8" xfId="0" applyNumberFormat="1" applyFont="1" applyFill="1" applyBorder="1" applyAlignment="1">
      <x:alignment horizontal="center" vertical="center"/>
    </x:xf>
    <x:xf numFmtId="201" fontId="9" fillId="6" borderId="9" xfId="0" applyNumberFormat="1" applyFont="1" applyFill="1" applyBorder="1" applyAlignment="1">
      <x:alignment horizontal="center" vertical="center"/>
    </x:xf>
    <x:xf numFmtId="201" fontId="9" fillId="6" borderId="10" xfId="0" applyNumberFormat="1" applyFont="1" applyFill="1" applyBorder="1" applyAlignment="1">
      <x:alignment horizontal="center" vertical="center"/>
    </x:xf>
    <x:xf numFmtId="201" fontId="9" fillId="6" borderId="11" xfId="0" applyNumberFormat="1" applyFont="1" applyFill="1" applyBorder="1" applyAlignment="1">
      <x:alignment horizontal="center" vertical="center"/>
    </x:xf>
    <x:xf numFmtId="204" fontId="10" fillId="6" borderId="4" xfId="0" applyNumberFormat="1" applyFont="1" applyFill="1" applyBorder="1" applyAlignment="1">
      <x:alignment horizontal="center" vertical="center"/>
    </x:xf>
    <x:xf numFmtId="204" fontId="10" fillId="6" borderId="5" xfId="0" applyNumberFormat="1" applyFont="1" applyFill="1" applyBorder="1" applyAlignment="1">
      <x:alignment horizontal="center" vertical="center"/>
    </x:xf>
    <x:xf numFmtId="204" fontId="10" fillId="6" borderId="6" xfId="0" applyNumberFormat="1" applyFont="1" applyFill="1" applyBorder="1" applyAlignment="1">
      <x:alignment horizontal="center" vertical="center"/>
    </x:xf>
    <x:xf numFmtId="204" fontId="10" fillId="6" borderId="7" xfId="0" applyNumberFormat="1" applyFont="1" applyFill="1" applyBorder="1" applyAlignment="1">
      <x:alignment horizontal="center" vertical="center"/>
    </x:xf>
    <x:xf numFmtId="204" fontId="10" fillId="6" borderId="8" xfId="0" applyNumberFormat="1" applyFont="1" applyFill="1" applyBorder="1" applyAlignment="1">
      <x:alignment horizontal="center" vertical="center"/>
    </x:xf>
    <x:xf numFmtId="204" fontId="10" fillId="6" borderId="9" xfId="0" applyNumberFormat="1" applyFont="1" applyFill="1" applyBorder="1" applyAlignment="1">
      <x:alignment horizontal="center" vertical="center"/>
    </x:xf>
    <x:xf numFmtId="204" fontId="10" fillId="6" borderId="10" xfId="0" applyNumberFormat="1" applyFont="1" applyFill="1" applyBorder="1" applyAlignment="1">
      <x:alignment horizontal="center" vertical="center"/>
    </x:xf>
    <x:xf numFmtId="204" fontId="10" fillId="6" borderId="11" xfId="0" applyNumberFormat="1" applyFont="1" applyFill="1" applyBorder="1" applyAlignment="1">
      <x:alignment horizontal="center" vertical="center"/>
    </x:xf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11" fillId="4" borderId="0" xfId="0" applyNumberFormat="1" applyFont="1" applyFill="1" applyBorder="1"/>
    <x:xf numFmtId="0" fontId="11" fillId="4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1" fillId="4" borderId="1" xfId="0" applyNumberFormat="1" applyFont="1" applyFill="1" applyBorder="1" applyAlignment="1">
      <x:alignment wrapText="1"/>
    </x:xf>
    <x:xf numFmtId="0" fontId="11" fillId="4" borderId="1" xfId="0" applyNumberFormat="1" applyFont="1" applyFill="1" applyBorder="1" applyAlignment="1">
      <x:alignment vertical="center" wrapText="1"/>
    </x:xf>
    <x:xf numFmtId="201" fontId="10" fillId="6" borderId="4" xfId="0" applyNumberFormat="1" applyFont="1" applyFill="1" applyBorder="1" applyAlignment="1">
      <x:alignment horizontal="center" vertical="center"/>
    </x:xf>
    <x:xf numFmtId="201" fontId="10" fillId="6" borderId="8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/>
    <x:xf numFmtId="0" fontId="12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ec9c1520f54cc2" /><Relationship Type="http://schemas.openxmlformats.org/officeDocument/2006/relationships/theme" Target="/xl/theme/theme1.xml" Id="R99554ffbbd2d4517" /><Relationship Type="http://schemas.openxmlformats.org/officeDocument/2006/relationships/sharedStrings" Target="/xl/sharedStrings.xml" Id="R7c5265270a3f4586" /><Relationship Type="http://schemas.openxmlformats.org/officeDocument/2006/relationships/worksheet" Target="/xl/worksheets/sheet1.xml" Id="Rb8ba7a0d1f9b4a5a" /><Relationship Type="http://schemas.openxmlformats.org/officeDocument/2006/relationships/worksheet" Target="/xl/worksheets/sheet2.xml" Id="R439b62870bc4452e" /><Relationship Type="http://schemas.openxmlformats.org/officeDocument/2006/relationships/worksheet" Target="/xl/worksheets/sheet3.xml" Id="R2b7cfa23bbdc45e4" /><Relationship Type="http://schemas.openxmlformats.org/officeDocument/2006/relationships/worksheet" Target="/xl/worksheets/sheet4.xml" Id="R4947bede46b44072" /><Relationship Type="http://schemas.openxmlformats.org/officeDocument/2006/relationships/worksheet" Target="/xl/worksheets/sheet5.xml" Id="R5a8639b21ad042ac" /><Relationship Type="http://schemas.openxmlformats.org/officeDocument/2006/relationships/worksheet" Target="/xl/worksheets/sheet6.xml" Id="R2bfd6ebde7f54d8e" /><Relationship Type="http://schemas.openxmlformats.org/officeDocument/2006/relationships/worksheet" Target="/xl/worksheets/sheet7.xml" Id="Re4f3d16ada00414a" /><Relationship Type="http://schemas.openxmlformats.org/officeDocument/2006/relationships/worksheet" Target="/xl/worksheets/sheet8.xml" Id="R4b2a2f1c7b834808" /><Relationship Type="http://schemas.openxmlformats.org/officeDocument/2006/relationships/worksheet" Target="/xl/worksheets/sheet9.xml" Id="Rc18cf3e3dfe84806" /><Relationship Type="http://schemas.openxmlformats.org/officeDocument/2006/relationships/worksheet" Target="/xl/worksheets/sheet10.xml" Id="R81ca3d188e7a4678" /><Relationship Type="http://schemas.openxmlformats.org/officeDocument/2006/relationships/worksheet" Target="/xl/worksheets/sheet11.xml" Id="R85533809efcb4b9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db23f076a4c4dfd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VAN por escenario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VAN (USD)</c:v>
          </c:tx>
          <c:cat>
            <c:strRef>
              <c:f>'Escenarios'!$A$4:$A$6</c:f>
              <c:strCache>
                <c:ptCount val="0"/>
              </c:strCache>
            </c:strRef>
          </c:cat>
          <c:val>
            <c:numRef>
              <c:f>'Escenarios'!$B$4:$B$6</c:f>
              <c:numCache>
                <c:formatCode>$#,##0;[Red]($#,##0);-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</xdr:row>
      <xdr:rowOff>0</xdr:rowOff>
    </xdr:from>
    <xdr:to>
      <xdr:col>17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b23f076a4c4dfd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26c062e675b5409b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48" hidden="0" customWidth="1"/>
    <x:col min="4" max="4" width="55" hidden="0" customWidth="1"/>
  </x:cols>
  <x:sheetData>
    <x:row r="1" ht="28" customHeight="1">
      <x:c r="A1" s="5" t="str">
        <x:v>FUENTES Y TRAZABILIDAD DE DATOS</x:v>
      </x:c>
    </x:row>
    <x:row r="3">
      <x:c r="A3" s="14" t="str">
        <x:v>Código</x:v>
      </x:c>
      <x:c r="B3" s="14" t="str">
        <x:v>Fuente</x:v>
      </x:c>
      <x:c r="C3" s="14" t="str">
        <x:v>Uso en el modelo</x:v>
      </x:c>
      <x:c r="D3" s="14" t="str">
        <x:v>URL</x:v>
      </x:c>
    </x:row>
    <x:row r="4">
      <x:c r="A4" s="20" t="str">
        <x:v>F1</x:v>
      </x:c>
      <x:c r="B4" s="20" t="str">
        <x:v>Holcim Ecuador - Accionistas</x:v>
      </x:c>
      <x:c r="C4" s="20" t="str">
        <x:v>Reportes financieros 2023, 2024 y 2025</x:v>
      </x:c>
      <x:c r="D4" s="20" t="str">
        <x:v>https://www.holcim.com.ec/accionistas</x:v>
      </x:c>
    </x:row>
    <x:row r="5">
      <x:c r="A5" s="20" t="str">
        <x:v>F2</x:v>
      </x:c>
      <x:c r="B5" s="20" t="str">
        <x:v>Holcim Ecuador - Plantas</x:v>
      </x:c>
      <x:c r="C5" s="20" t="str">
        <x:v>Ubicación y tipo de instalaciones, incluida la planta de molienda de Latacunga</x:v>
      </x:c>
      <x:c r="D5" s="20" t="str">
        <x:v>https://www.holcim.com.ec/plantas</x:v>
      </x:c>
    </x:row>
    <x:row r="6">
      <x:c r="A6" s="20" t="str">
        <x:v>F3</x:v>
      </x:c>
      <x:c r="B6" s="20" t="str">
        <x:v>Banco Central del Ecuador</x:v>
      </x:c>
      <x:c r="C6" s="20" t="str">
        <x:v>Contexto del sector construcción y tasas productivas</x:v>
      </x:c>
      <x:c r="D6" s="20" t="str">
        <x:v>https://www.bce.fin.ec/</x:v>
      </x:c>
    </x:row>
    <x:row r="7">
      <x:c r="A7" s="20" t="str">
        <x:v>F4</x:v>
      </x:c>
      <x:c r="B7" s="20" t="str">
        <x:v>Proyecto integrador del docente</x:v>
      </x:c>
      <x:c r="C7" s="20" t="str">
        <x:v>Estructura, contenidos, agentes, dashboard y evidencias</x:v>
      </x:c>
      <x:c r="D7" s="20" t="str">
        <x:v>Archivo adjunto del usuario</x:v>
      </x:c>
    </x:row>
    <x:row r="8">
      <x:c r="A8" s="20" t="str">
        <x:v>S1</x:v>
      </x:c>
      <x:c r="B8" s="20" t="str">
        <x:v>Supuestos académicos identificados</x:v>
      </x:c>
      <x:c r="C8" s="20" t="str">
        <x:v>CAPEX, generación, almacenamiento, ahorro por interrupciones y costos operativos</x:v>
      </x:c>
      <x:c r="D8" s="20" t="str">
        <x:v>No corresponde a una cotización real</x:v>
      </x:c>
    </x:row>
  </x:sheetData>
  <x:mergeCells>
    <x:mergeCell ref="A1:D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5" hidden="0" customWidth="1"/>
    <x:col min="3" max="3" width="15" hidden="0" customWidth="1"/>
    <x:col min="4" max="4" width="15" hidden="0" customWidth="1"/>
    <x:col min="5" max="5" width="12" hidden="0" customWidth="1"/>
  </x:cols>
  <x:sheetData>
    <x:row r="1" ht="28" customHeight="1">
      <x:c r="A1" s="5" t="str">
        <x:v>HOLCIM ECUADOR — ESTADOS FINANCIEROS HISTÓRICOS</x:v>
      </x:c>
    </x:row>
    <x:row r="3">
      <x:c r="A3" s="14" t="str">
        <x:v>Cuenta (USD miles)</x:v>
      </x:c>
      <x:c r="B3" s="14" t="str">
        <x:v>2023</x:v>
      </x:c>
      <x:c r="C3" s="14" t="str">
        <x:v>2024</x:v>
      </x:c>
      <x:c r="D3" s="14" t="str">
        <x:v>2025</x:v>
      </x:c>
      <x:c r="E3" s="14" t="str">
        <x:v>Fuente</x:v>
      </x:c>
    </x:row>
    <x:row r="4">
      <x:c r="A4" s="20" t="str">
        <x:v>Ventas</x:v>
      </x:c>
      <x:c r="B4" s="28" t="n">
        <x:v>342511</x:v>
      </x:c>
      <x:c r="C4" s="28" t="n">
        <x:v>316989</x:v>
      </x:c>
      <x:c r="D4" s="28" t="n">
        <x:v>384625</x:v>
      </x:c>
      <x:c r="E4" s="29" t="str">
        <x:v>F1</x:v>
      </x:c>
    </x:row>
    <x:row r="5">
      <x:c r="A5" s="20" t="str">
        <x:v>Costo de ventas</x:v>
      </x:c>
      <x:c r="B5" s="28" t="n">
        <x:v>182193</x:v>
      </x:c>
      <x:c r="C5" s="28" t="n">
        <x:v>168288</x:v>
      </x:c>
      <x:c r="D5" s="28" t="n">
        <x:v>212380</x:v>
      </x:c>
      <x:c r="E5" s="29" t="str">
        <x:v>F1</x:v>
      </x:c>
    </x:row>
    <x:row r="6">
      <x:c r="A6" s="20" t="str">
        <x:v>Utilidad bruta</x:v>
      </x:c>
      <x:c r="B6" s="28" t="n">
        <x:v>160318</x:v>
      </x:c>
      <x:c r="C6" s="28" t="n">
        <x:v>148701</x:v>
      </x:c>
      <x:c r="D6" s="28" t="n">
        <x:v>172245</x:v>
      </x:c>
      <x:c r="E6" s="29" t="str">
        <x:v>F1</x:v>
      </x:c>
    </x:row>
    <x:row r="7">
      <x:c r="A7" s="20" t="str">
        <x:v>Gastos de distribución</x:v>
      </x:c>
      <x:c r="B7" s="28" t="n">
        <x:v>38094</x:v>
      </x:c>
      <x:c r="C7" s="28" t="n">
        <x:v>30832</x:v>
      </x:c>
      <x:c r="D7" s="28" t="n">
        <x:v>54908</x:v>
      </x:c>
      <x:c r="E7" s="29" t="str">
        <x:v>F1</x:v>
      </x:c>
    </x:row>
    <x:row r="8">
      <x:c r="A8" s="20" t="str">
        <x:v>Gastos de comercialización</x:v>
      </x:c>
      <x:c r="B8" s="28" t="n">
        <x:v>17655</x:v>
      </x:c>
      <x:c r="C8" s="28" t="n">
        <x:v>18204</x:v>
      </x:c>
      <x:c r="D8" s="28" t="n">
        <x:v>19970</x:v>
      </x:c>
      <x:c r="E8" s="29" t="str">
        <x:v>F1</x:v>
      </x:c>
    </x:row>
    <x:row r="9">
      <x:c r="A9" s="20" t="str">
        <x:v>Gastos administrativos</x:v>
      </x:c>
      <x:c r="B9" s="28" t="n">
        <x:v>19303</x:v>
      </x:c>
      <x:c r="C9" s="28" t="n">
        <x:v>20310</x:v>
      </x:c>
      <x:c r="D9" s="28" t="n">
        <x:v>20056</x:v>
      </x:c>
      <x:c r="E9" s="29" t="str">
        <x:v>F1</x:v>
      </x:c>
    </x:row>
    <x:row r="10">
      <x:c r="A10" s="20" t="str">
        <x:v>Utilidad operacional (EBIT)</x:v>
      </x:c>
      <x:c r="B10" s="28" t="n">
        <x:v>85266</x:v>
      </x:c>
      <x:c r="C10" s="28" t="n">
        <x:v>79355</x:v>
      </x:c>
      <x:c r="D10" s="28" t="n">
        <x:v>77311</x:v>
      </x:c>
      <x:c r="E10" s="29" t="str">
        <x:v>F1</x:v>
      </x:c>
    </x:row>
    <x:row r="11">
      <x:c r="A11" s="20" t="str">
        <x:v>Ingresos financieros</x:v>
      </x:c>
      <x:c r="B11" s="28" t="n">
        <x:v>1090</x:v>
      </x:c>
      <x:c r="C11" s="28" t="n">
        <x:v>638</x:v>
      </x:c>
      <x:c r="D11" s="28" t="n">
        <x:v>863</x:v>
      </x:c>
      <x:c r="E11" s="29" t="str">
        <x:v>F1</x:v>
      </x:c>
    </x:row>
    <x:row r="12">
      <x:c r="A12" s="20" t="str">
        <x:v>Gastos financieros</x:v>
      </x:c>
      <x:c r="B12" s="28" t="n">
        <x:v>2960</x:v>
      </x:c>
      <x:c r="C12" s="28" t="n">
        <x:v>4514</x:v>
      </x:c>
      <x:c r="D12" s="28" t="n">
        <x:v>2225</x:v>
      </x:c>
      <x:c r="E12" s="29" t="str">
        <x:v>F1</x:v>
      </x:c>
    </x:row>
    <x:row r="13">
      <x:c r="A13" s="20" t="str">
        <x:v>Otros ingresos no operacionales</x:v>
      </x:c>
      <x:c r="B13" s="28" t="n">
        <x:v>1796</x:v>
      </x:c>
      <x:c r="C13" s="28" t="n">
        <x:v>17084</x:v>
      </x:c>
      <x:c r="D13" s="28" t="n">
        <x:v>14655</x:v>
      </x:c>
      <x:c r="E13" s="29" t="str">
        <x:v>F1</x:v>
      </x:c>
    </x:row>
    <x:row r="14">
      <x:c r="A14" s="20" t="str">
        <x:v>Dividendos de subsidiarias</x:v>
      </x:c>
      <x:c r="B14" s="28" t="n">
        <x:v>28022</x:v>
      </x:c>
      <x:c r="C14" s="28" t="n">
        <x:v>7897</x:v>
      </x:c>
      <x:c r="D14" s="28" t="n">
        <x:v>12640</x:v>
      </x:c>
      <x:c r="E14" s="29" t="str">
        <x:v>F1</x:v>
      </x:c>
    </x:row>
    <x:row r="15">
      <x:c r="A15" s="20" t="str">
        <x:v>Utilidad antes de impuestos</x:v>
      </x:c>
      <x:c r="B15" s="28" t="n">
        <x:v>113214</x:v>
      </x:c>
      <x:c r="C15" s="28" t="n">
        <x:v>100460</x:v>
      </x:c>
      <x:c r="D15" s="28" t="n">
        <x:v>103244</x:v>
      </x:c>
      <x:c r="E15" s="29" t="str">
        <x:v>F1</x:v>
      </x:c>
    </x:row>
    <x:row r="16">
      <x:c r="A16" s="20" t="str">
        <x:v>Impuesto a la renta</x:v>
      </x:c>
      <x:c r="B16" s="28" t="n">
        <x:v>17892</x:v>
      </x:c>
      <x:c r="C16" s="28" t="n">
        <x:v>22588</x:v>
      </x:c>
      <x:c r="D16" s="28" t="n">
        <x:v>18285</x:v>
      </x:c>
      <x:c r="E16" s="29" t="str">
        <x:v>F1</x:v>
      </x:c>
    </x:row>
    <x:row r="17">
      <x:c r="A17" s="20" t="str">
        <x:v>Utilidad neta</x:v>
      </x:c>
      <x:c r="B17" s="28" t="n">
        <x:v>95322</x:v>
      </x:c>
      <x:c r="C17" s="28" t="n">
        <x:v>77872</x:v>
      </x:c>
      <x:c r="D17" s="28" t="n">
        <x:v>84959</x:v>
      </x:c>
      <x:c r="E17" s="29" t="str">
        <x:v>F1</x:v>
      </x:c>
    </x:row>
    <x:row r="18">
      <x:c r="A18" s="20" t="str">
        <x:v>Efectivo</x:v>
      </x:c>
      <x:c r="B18" s="28" t="n">
        <x:v>7782</x:v>
      </x:c>
      <x:c r="C18" s="28" t="n">
        <x:v>11411</x:v>
      </x:c>
      <x:c r="D18" s="28" t="n">
        <x:v>21006</x:v>
      </x:c>
      <x:c r="E18" s="29" t="str">
        <x:v>F1</x:v>
      </x:c>
    </x:row>
    <x:row r="19">
      <x:c r="A19" s="20" t="str">
        <x:v>Cuentas por cobrar</x:v>
      </x:c>
      <x:c r="B19" s="28" t="n">
        <x:v>32125</x:v>
      </x:c>
      <x:c r="C19" s="28" t="n">
        <x:v>33248</x:v>
      </x:c>
      <x:c r="D19" s="28" t="n">
        <x:v>27700</x:v>
      </x:c>
      <x:c r="E19" s="29" t="str">
        <x:v>F1</x:v>
      </x:c>
    </x:row>
    <x:row r="20">
      <x:c r="A20" s="20" t="str">
        <x:v>Cuentas financieras por cobrar CP</x:v>
      </x:c>
      <x:c r="B20" s="28" t="n">
        <x:v>0</x:v>
      </x:c>
      <x:c r="C20" s="28" t="n">
        <x:v>3516</x:v>
      </x:c>
      <x:c r="D20" s="28" t="n">
        <x:v>5523</x:v>
      </x:c>
      <x:c r="E20" s="29" t="str">
        <x:v>F1</x:v>
      </x:c>
    </x:row>
    <x:row r="21">
      <x:c r="A21" s="20" t="str">
        <x:v>Inventarios</x:v>
      </x:c>
      <x:c r="B21" s="28" t="n">
        <x:v>35634</x:v>
      </x:c>
      <x:c r="C21" s="28" t="n">
        <x:v>31724</x:v>
      </x:c>
      <x:c r="D21" s="28" t="n">
        <x:v>32913</x:v>
      </x:c>
      <x:c r="E21" s="29" t="str">
        <x:v>F1</x:v>
      </x:c>
    </x:row>
    <x:row r="22">
      <x:c r="A22" s="20" t="str">
        <x:v>Otros activos corrientes</x:v>
      </x:c>
      <x:c r="B22" s="28" t="n">
        <x:v>38675</x:v>
      </x:c>
      <x:c r="C22" s="28" t="n">
        <x:v>20664</x:v>
      </x:c>
      <x:c r="D22" s="28" t="n">
        <x:v>18876</x:v>
      </x:c>
      <x:c r="E22" s="29" t="str">
        <x:v>F1</x:v>
      </x:c>
    </x:row>
    <x:row r="23">
      <x:c r="A23" s="20" t="str">
        <x:v>Activos corrientes</x:v>
      </x:c>
      <x:c r="B23" s="28" t="n">
        <x:v>114216</x:v>
      </x:c>
      <x:c r="C23" s="28" t="n">
        <x:v>100563</x:v>
      </x:c>
      <x:c r="D23" s="28" t="n">
        <x:v>106018</x:v>
      </x:c>
      <x:c r="E23" s="29" t="str">
        <x:v>F1</x:v>
      </x:c>
    </x:row>
    <x:row r="24">
      <x:c r="A24" s="20" t="str">
        <x:v>Propiedad, planta y equipo</x:v>
      </x:c>
      <x:c r="B24" s="28" t="n">
        <x:v>349446</x:v>
      </x:c>
      <x:c r="C24" s="28" t="n">
        <x:v>349753</x:v>
      </x:c>
      <x:c r="D24" s="28" t="n">
        <x:v>334271</x:v>
      </x:c>
      <x:c r="E24" s="29" t="str">
        <x:v>F1</x:v>
      </x:c>
    </x:row>
    <x:row r="25">
      <x:c r="A25" s="20" t="str">
        <x:v>Activos totales</x:v>
      </x:c>
      <x:c r="B25" s="28" t="n">
        <x:v>549983</x:v>
      </x:c>
      <x:c r="C25" s="28" t="n">
        <x:v>529952</x:v>
      </x:c>
      <x:c r="D25" s="28" t="n">
        <x:v>524167</x:v>
      </x:c>
      <x:c r="E25" s="29" t="str">
        <x:v>F1</x:v>
      </x:c>
    </x:row>
    <x:row r="26">
      <x:c r="A26" s="20" t="str">
        <x:v>Pasivos corrientes</x:v>
      </x:c>
      <x:c r="B26" s="28" t="n">
        <x:v>208916</x:v>
      </x:c>
      <x:c r="C26" s="28" t="n">
        <x:v>139967</x:v>
      </x:c>
      <x:c r="D26" s="28" t="n">
        <x:v>195568</x:v>
      </x:c>
      <x:c r="E26" s="29" t="str">
        <x:v>F1</x:v>
      </x:c>
    </x:row>
    <x:row r="27">
      <x:c r="A27" s="20" t="str">
        <x:v>Pasivos totales</x:v>
      </x:c>
      <x:c r="B27" s="28" t="n">
        <x:v>219691</x:v>
      </x:c>
      <x:c r="C27" s="28" t="n">
        <x:v>150517</x:v>
      </x:c>
      <x:c r="D27" s="28" t="n">
        <x:v>208384</x:v>
      </x:c>
      <x:c r="E27" s="29" t="str">
        <x:v>F1</x:v>
      </x:c>
    </x:row>
    <x:row r="28">
      <x:c r="A28" s="20" t="str">
        <x:v>Patrimonio</x:v>
      </x:c>
      <x:c r="B28" s="28" t="n">
        <x:v>330292</x:v>
      </x:c>
      <x:c r="C28" s="28" t="n">
        <x:v>379435</x:v>
      </x:c>
      <x:c r="D28" s="28" t="n">
        <x:v>315783</x:v>
      </x:c>
      <x:c r="E28" s="29" t="str">
        <x:v>F1</x:v>
      </x:c>
    </x:row>
    <x:row r="29">
      <x:c r="A29" s="20" t="str">
        <x:v>Depreciación y amortización</x:v>
      </x:c>
      <x:c r="B29" s="28"/>
      <x:c r="C29" s="28" t="n">
        <x:v>30511</x:v>
      </x:c>
      <x:c r="D29" s="28" t="n">
        <x:v>31442</x:v>
      </x:c>
      <x:c r="E29" s="29" t="str">
        <x:v>F1</x:v>
      </x:c>
    </x:row>
    <x:row r="30">
      <x:c r="A30" s="20" t="str">
        <x:v>CAPEX</x:v>
      </x:c>
      <x:c r="B30" s="28"/>
      <x:c r="C30" s="28" t="n">
        <x:v>17429</x:v>
      </x:c>
      <x:c r="D30" s="28" t="n">
        <x:v>14307</x:v>
      </x:c>
      <x:c r="E30" s="29" t="str">
        <x:v>F1</x:v>
      </x:c>
    </x:row>
    <x:row r="31">
      <x:c r="A31" s="20" t="str">
        <x:v>Flujo operativo</x:v>
      </x:c>
      <x:c r="B31" s="28"/>
      <x:c r="C31" s="28" t="n">
        <x:v>43615</x:v>
      </x:c>
      <x:c r="D31" s="28" t="n">
        <x:v>122005</x:v>
      </x:c>
      <x:c r="E31" s="29" t="str">
        <x:v>F1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3" hidden="0" customWidth="1"/>
    <x:col min="3" max="3" width="13" hidden="0" customWidth="1"/>
    <x:col min="4" max="4" width="13" hidden="0" customWidth="1"/>
    <x:col min="5" max="5" width="58" hidden="0" customWidth="1"/>
  </x:cols>
  <x:sheetData>
    <x:row r="1" ht="28" customHeight="1">
      <x:c r="A1" s="5" t="str">
        <x:v>DIAGNÓSTICO FINANCIERO 2023–2025</x:v>
      </x:c>
    </x:row>
    <x:row r="3">
      <x:c r="A3" s="14" t="str">
        <x:v>Indicador</x:v>
      </x:c>
      <x:c r="B3" s="14" t="str">
        <x:v>2023</x:v>
      </x:c>
      <x:c r="C3" s="14" t="str">
        <x:v>2024</x:v>
      </x:c>
      <x:c r="D3" s="14" t="str">
        <x:v>2025</x:v>
      </x:c>
      <x:c r="E3" s="14" t="str">
        <x:v>Interpretación</x:v>
      </x:c>
    </x:row>
    <x:row r="4">
      <x:c r="A4" t="str">
        <x:v>Razón corriente</x:v>
      </x:c>
      <x:c r="B4" s="32" t="n">
        <x:f>EEFF_Historicos!B23/EEFF_Historicos!B26</x:f>
        <x:v>0.546707767715254</x:v>
      </x:c>
      <x:c r="C4" s="32" t="n">
        <x:f>EEFF_Historicos!C23/EEFF_Historicos!C26</x:f>
        <x:v>0.7184764980316789</x:v>
      </x:c>
      <x:c r="D4" s="32" t="n">
        <x:f>EEFF_Historicos!D23/EEFF_Historicos!D26</x:f>
        <x:v>0.5421030025362022</x:v>
      </x:c>
      <x:c r="E4" s="20" t="str">
        <x:v>Menor a 1: el capital de trabajo requiere control.</x:v>
      </x:c>
    </x:row>
    <x:row r="5">
      <x:c r="A5" t="str">
        <x:v>Prueba ácida</x:v>
      </x:c>
      <x:c r="B5" s="32" t="n">
        <x:f>(EEFF_Historicos!B23-EEFF_Historicos!B21)/EEFF_Historicos!B26</x:f>
        <x:v>0.3761416071531142</x:v>
      </x:c>
      <x:c r="C5" s="32" t="n">
        <x:f>(EEFF_Historicos!C23-EEFF_Historicos!C21)/EEFF_Historicos!C26</x:f>
        <x:v>0.4918230725813942</x:v>
      </x:c>
      <x:c r="D5" s="32" t="n">
        <x:f>(EEFF_Historicos!D23-EEFF_Historicos!D21)/EEFF_Historicos!D26</x:f>
        <x:v>0.37380859854372905</x:v>
      </x:c>
      <x:c r="E5" s="20" t="str">
        <x:v>La liquidez sin inventarios es limitada.</x:v>
      </x:c>
    </x:row>
    <x:row r="6">
      <x:c r="A6" t="str">
        <x:v>Endeudamiento</x:v>
      </x:c>
      <x:c r="B6" s="32" t="n">
        <x:f>EEFF_Historicos!B27/EEFF_Historicos!B25</x:f>
        <x:v>0.39945052847088003</x:v>
      </x:c>
      <x:c r="C6" s="32" t="n">
        <x:f>EEFF_Historicos!C27/EEFF_Historicos!C25</x:f>
        <x:v>0.2840200621943119</x:v>
      </x:c>
      <x:c r="D6" s="32" t="n">
        <x:f>EEFF_Historicos!D27/EEFF_Historicos!D25</x:f>
        <x:v>0.3975526883607705</x:v>
      </x:c>
      <x:c r="E6" s="20" t="str">
        <x:v>La estructura se mantiene manejable.</x:v>
      </x:c>
    </x:row>
    <x:row r="7">
      <x:c r="A7" t="str">
        <x:v>Deuda / patrimonio</x:v>
      </x:c>
      <x:c r="B7" s="32" t="n">
        <x:f>EEFF_Historicos!B27/EEFF_Historicos!B28</x:f>
        <x:v>0.665141753357635</x:v>
      </x:c>
      <x:c r="C7" s="32" t="n">
        <x:f>EEFF_Historicos!C27/EEFF_Historicos!C28</x:f>
        <x:v>0.3966871796223332</x:v>
      </x:c>
      <x:c r="D7" s="32" t="n">
        <x:f>EEFF_Historicos!D27/EEFF_Historicos!D28</x:f>
        <x:v>0.6598961945386547</x:v>
      </x:c>
      <x:c r="E7" s="20" t="str">
        <x:v>Relaciona pasivos con recursos de accionistas.</x:v>
      </x:c>
    </x:row>
    <x:row r="8">
      <x:c r="A8" t="str">
        <x:v>Margen bruto</x:v>
      </x:c>
      <x:c r="B8" s="34" t="n">
        <x:f>EEFF_Historicos!B6/EEFF_Historicos!B4</x:f>
        <x:v>0.4680667190250824</x:v>
      </x:c>
      <x:c r="C8" s="34" t="n">
        <x:f>EEFF_Historicos!C6/EEFF_Historicos!C4</x:f>
        <x:v>0.46910460615352584</x:v>
      </x:c>
      <x:c r="D8" s="34" t="n">
        <x:f>EEFF_Historicos!D6/EEFF_Historicos!D4</x:f>
        <x:v>0.4478258043548911</x:v>
      </x:c>
      <x:c r="E8" s="20" t="str">
        <x:v>El margen se contrajo en 2025 por mayor costo de ventas.</x:v>
      </x:c>
    </x:row>
    <x:row r="9">
      <x:c r="A9" t="str">
        <x:v>Margen operacional</x:v>
      </x:c>
      <x:c r="B9" s="34" t="n">
        <x:f>EEFF_Historicos!B10/EEFF_Historicos!B4</x:f>
        <x:v>0.248943829541241</x:v>
      </x:c>
      <x:c r="C9" s="34" t="n">
        <x:f>EEFF_Historicos!C10/EEFF_Historicos!C4</x:f>
        <x:v>0.25033991715800863</x:v>
      </x:c>
      <x:c r="D9" s="34" t="n">
        <x:f>EEFF_Historicos!D10/EEFF_Historicos!D4</x:f>
        <x:v>0.20100357491062723</x:v>
      </x:c>
      <x:c r="E9" s="20" t="str">
        <x:v>La rentabilidad operativa bajó en 2025.</x:v>
      </x:c>
    </x:row>
    <x:row r="10">
      <x:c r="A10" t="str">
        <x:v>Margen neto</x:v>
      </x:c>
      <x:c r="B10" s="34" t="n">
        <x:f>EEFF_Historicos!B17/EEFF_Historicos!B4</x:f>
        <x:v>0.27830347054547155</x:v>
      </x:c>
      <x:c r="C10" s="34" t="n">
        <x:f>EEFF_Historicos!C17/EEFF_Historicos!C4</x:f>
        <x:v>0.2456615213777134</x:v>
      </x:c>
      <x:c r="D10" s="34" t="n">
        <x:f>EEFF_Historicos!D17/EEFF_Historicos!D4</x:f>
        <x:v>0.2208878778030549</x:v>
      </x:c>
      <x:c r="E10" s="20" t="str">
        <x:v>Sigue siendo elevada, aunque con tendencia descendente.</x:v>
      </x:c>
    </x:row>
    <x:row r="11">
      <x:c r="A11" t="str">
        <x:v>Rotación de activos</x:v>
      </x:c>
      <x:c r="B11" s="36" t="n">
        <x:f>EEFF_Historicos!B4/EEFF_Historicos!B25</x:f>
        <x:v>0.6227665218743125</x:v>
      </x:c>
      <x:c r="C11" s="36" t="n">
        <x:f>EEFF_Historicos!C4/AVERAGE(EEFF_Historicos!B25:C25)</x:f>
        <x:v>0.5870519984999097</x:v>
      </x:c>
      <x:c r="D11" s="36" t="n">
        <x:f>EEFF_Historicos!D4/AVERAGE(EEFF_Historicos!C25:D25)</x:f>
        <x:v>0.7297563178350831</x:v>
      </x:c>
      <x:c r="E11" s="20" t="str">
        <x:v>Las ventas generadas por cada dólar de activos mejoraron en 2025.</x:v>
      </x:c>
    </x:row>
    <x:row r="12">
      <x:c r="A12" t="str">
        <x:v>ROA</x:v>
      </x:c>
      <x:c r="B12" s="34" t="n">
        <x:f>EEFF_Historicos!B17/EEFF_Historicos!B25</x:f>
        <x:v>0.1733180843771535</x:v>
      </x:c>
      <x:c r="C12" s="34" t="n">
        <x:f>EEFF_Historicos!C17/AVERAGE(EEFF_Historicos!B25:C25)</x:f>
        <x:v>0.14421608707931496</x:v>
      </x:c>
      <x:c r="D12" s="34" t="n">
        <x:f>EEFF_Historicos!D17/AVERAGE(EEFF_Historicos!C25:D25)</x:f>
        <x:v>0.16119432435996314</x:v>
      </x:c>
      <x:c r="E12" s="20" t="str">
        <x:v>Rentabilidad sobre los activos.</x:v>
      </x:c>
    </x:row>
    <x:row r="13">
      <x:c r="A13" t="str">
        <x:v>ROE</x:v>
      </x:c>
      <x:c r="B13" s="34" t="n">
        <x:f>EEFF_Historicos!B17/EEFF_Historicos!B28</x:f>
        <x:v>0.2885991789083599</x:v>
      </x:c>
      <x:c r="C13" s="34" t="n">
        <x:f>EEFF_Historicos!C17/AVERAGE(EEFF_Historicos!B28:C28)</x:f>
        <x:v>0.21944212352073403</x:v>
      </x:c>
      <x:c r="D13" s="34" t="n">
        <x:f>EEFF_Historicos!D17/AVERAGE(EEFF_Historicos!C28:D28)</x:f>
        <x:v>0.2444096671835309</x:v>
      </x:c>
      <x:c r="E13" s="20" t="str">
        <x:v>Rentabilidad para accionistas.</x:v>
      </x:c>
    </x:row>
    <x:row r="14">
      <x:c r="A14" t="str">
        <x:v>Cobertura de intereses</x:v>
      </x:c>
      <x:c r="B14" s="36" t="n">
        <x:f>EEFF_Historicos!B10/EEFF_Historicos!B12</x:f>
        <x:v>28.806081081081082</x:v>
      </x:c>
      <x:c r="C14" s="36" t="n">
        <x:f>EEFF_Historicos!C10/EEFF_Historicos!C12</x:f>
        <x:v>17.57975188303057</x:v>
      </x:c>
      <x:c r="D14" s="36" t="n">
        <x:f>EEFF_Historicos!D10/EEFF_Historicos!D12</x:f>
        <x:v>34.74651685393258</x:v>
      </x:c>
      <x:c r="E14" s="20" t="str">
        <x:v>Capacidad holgada para cubrir intereses.</x:v>
      </x:c>
    </x:row>
    <x:row r="15">
      <x:c r="A15" t="str">
        <x:v>DuPont: margen neto</x:v>
      </x:c>
      <x:c r="B15" s="34" t="n">
        <x:f>B10</x:f>
        <x:v>0.27830347054547155</x:v>
      </x:c>
      <x:c r="C15" s="34" t="n">
        <x:f>C10</x:f>
        <x:v>0.2456615213777134</x:v>
      </x:c>
      <x:c r="D15" s="34" t="n">
        <x:f>D10</x:f>
        <x:v>0.2208878778030549</x:v>
      </x:c>
      <x:c r="E15" s="20" t="str">
        <x:v>Componente de rentabilidad del sistema DuPont.</x:v>
      </x:c>
    </x:row>
    <x:row r="16">
      <x:c r="A16" t="str">
        <x:v>DuPont: rotación de activos</x:v>
      </x:c>
      <x:c r="B16" s="36" t="n">
        <x:f>B11</x:f>
        <x:v>0.6227665218743125</x:v>
      </x:c>
      <x:c r="C16" s="36" t="n">
        <x:f>C11</x:f>
        <x:v>0.5870519984999097</x:v>
      </x:c>
      <x:c r="D16" s="36" t="n">
        <x:f>D11</x:f>
        <x:v>0.7297563178350831</x:v>
      </x:c>
      <x:c r="E16" s="20" t="str">
        <x:v>Componente de eficiencia del sistema DuPont.</x:v>
      </x:c>
    </x:row>
    <x:row r="17">
      <x:c r="A17" t="str">
        <x:v>DuPont: multiplicador de capital</x:v>
      </x:c>
      <x:c r="B17" s="36" t="n">
        <x:f>EEFF_Historicos!B25/EEFF_Historicos!B28</x:f>
        <x:v>1.6651417533576351</x:v>
      </x:c>
      <x:c r="C17" s="36" t="n">
        <x:f>AVERAGE(EEFF_Historicos!B25:C25)/AVERAGE(EEFF_Historicos!B28:C28)</x:f>
        <x:v>1.5216202849828173</x:v>
      </x:c>
      <x:c r="D17" s="36" t="n">
        <x:f>AVERAGE(EEFF_Historicos!C25:D25)/AVERAGE(EEFF_Historicos!C28:D28)</x:f>
        <x:v>1.516242387279961</x:v>
      </x:c>
      <x:c r="E17" s="20" t="str">
        <x:v>Componente de apalancamiento del sistema DuPont.</x:v>
      </x:c>
    </x:row>
    <x:row r="18">
      <x:c r="A18" t="str">
        <x:v>DuPont: ROE calculado</x:v>
      </x:c>
      <x:c r="B18" s="34" t="n">
        <x:f>B15*B16*B17</x:f>
        <x:v>0.2885991789083599</x:v>
      </x:c>
      <x:c r="C18" s="34" t="n">
        <x:f>C15*C16*C17</x:f>
        <x:v>0.21944212352073403</x:v>
      </x:c>
      <x:c r="D18" s="34" t="n">
        <x:f>D15*D16*D17</x:f>
        <x:v>0.2444096671835309</x:v>
      </x:c>
      <x:c r="E18" s="20" t="str">
        <x:v>Producto de los tres componentes.</x:v>
      </x:c>
    </x:row>
  </x:sheetData>
  <x:mergeCells>
    <x:mergeCell ref="A1:E1"/>
  </x:mergeCells>
  <x:conditionalFormatting sqref="B4:D1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43" hidden="0" customWidth="1"/>
    <x:col min="2" max="2" width="18" hidden="0" customWidth="1"/>
    <x:col min="3" max="3" width="14" hidden="0" customWidth="1"/>
    <x:col min="4" max="4" width="55" hidden="0" customWidth="1"/>
  </x:cols>
  <x:sheetData>
    <x:row r="1" ht="28" customHeight="1">
      <x:c r="A1" s="5" t="str">
        <x:v>SUPUESTOS ACADÉMICOS — SISTEMA SOLAR + ALMACENAMIENTO</x:v>
      </x:c>
    </x:row>
    <x:row r="3">
      <x:c r="A3" s="14" t="str">
        <x:v>Variable</x:v>
      </x:c>
      <x:c r="B3" s="14" t="str">
        <x:v>Valor</x:v>
      </x:c>
      <x:c r="C3" s="14" t="str">
        <x:v>Unidad</x:v>
      </x:c>
      <x:c r="D3" s="14" t="str">
        <x:v>Fuente / observación</x:v>
      </x:c>
    </x:row>
    <x:row r="4">
      <x:c r="A4" s="20" t="str">
        <x:v>Inversión EPC inicial</x:v>
      </x:c>
      <x:c r="B4" s="54" t="n">
        <x:v>6000000</x:v>
      </x:c>
      <x:c r="C4" s="20" t="str">
        <x:v>USD</x:v>
      </x:c>
      <x:c r="D4" s="20" t="str">
        <x:v>S1 — validar con cotización</x:v>
      </x:c>
    </x:row>
    <x:row r="5">
      <x:c r="A5" s="20" t="str">
        <x:v>Capital de trabajo inicial</x:v>
      </x:c>
      <x:c r="B5" s="54" t="n">
        <x:v>80000</x:v>
      </x:c>
      <x:c r="C5" s="20" t="str">
        <x:v>USD</x:v>
      </x:c>
      <x:c r="D5" s="20" t="str">
        <x:v>S1</x:v>
      </x:c>
    </x:row>
    <x:row r="6">
      <x:c r="A6" s="20" t="str">
        <x:v>Capacidad fotovoltaica</x:v>
      </x:c>
      <x:c r="B6" s="54" t="n">
        <x:v>5</x:v>
      </x:c>
      <x:c r="C6" s="20" t="str">
        <x:v>MWp</x:v>
      </x:c>
      <x:c r="D6" s="20" t="str">
        <x:v>S1</x:v>
      </x:c>
    </x:row>
    <x:row r="7">
      <x:c r="A7" s="20" t="str">
        <x:v>Capacidad de batería</x:v>
      </x:c>
      <x:c r="B7" s="54" t="n">
        <x:v>4</x:v>
      </x:c>
      <x:c r="C7" s="20" t="str">
        <x:v>MWh</x:v>
      </x:c>
      <x:c r="D7" s="20" t="str">
        <x:v>S1</x:v>
      </x:c>
    </x:row>
    <x:row r="8">
      <x:c r="A8" s="20" t="str">
        <x:v>Generación del año 1</x:v>
      </x:c>
      <x:c r="B8" s="54" t="n">
        <x:v>8250</x:v>
      </x:c>
      <x:c r="C8" s="20" t="str">
        <x:v>MWh</x:v>
      </x:c>
      <x:c r="D8" s="20" t="str">
        <x:v>S1</x:v>
      </x:c>
    </x:row>
    <x:row r="9">
      <x:c r="A9" s="20" t="str">
        <x:v>Autoconsumo</x:v>
      </x:c>
      <x:c r="B9" s="55" t="n">
        <x:v>0.95</x:v>
      </x:c>
      <x:c r="C9" s="20" t="str">
        <x:v>%</x:v>
      </x:c>
      <x:c r="D9" s="20" t="str">
        <x:v>S1</x:v>
      </x:c>
    </x:row>
    <x:row r="10">
      <x:c r="A10" s="20" t="str">
        <x:v>Tarifa eléctrica evitada</x:v>
      </x:c>
      <x:c r="B10" s="54" t="n">
        <x:v>0.095</x:v>
      </x:c>
      <x:c r="C10" s="20" t="str">
        <x:v>USD/kWh</x:v>
      </x:c>
      <x:c r="D10" s="20" t="str">
        <x:v>S1</x:v>
      </x:c>
    </x:row>
    <x:row r="11">
      <x:c r="A11" s="20" t="str">
        <x:v>Ahorro por continuidad operativa</x:v>
      </x:c>
      <x:c r="B11" s="54" t="n">
        <x:v>500000</x:v>
      </x:c>
      <x:c r="C11" s="20" t="str">
        <x:v>USD/año</x:v>
      </x:c>
      <x:c r="D11" s="20" t="str">
        <x:v>S1</x:v>
      </x:c>
    </x:row>
    <x:row r="12">
      <x:c r="A12" s="20" t="str">
        <x:v>Operación y mantenimiento</x:v>
      </x:c>
      <x:c r="B12" s="54" t="n">
        <x:v>120000</x:v>
      </x:c>
      <x:c r="C12" s="20" t="str">
        <x:v>USD/año</x:v>
      </x:c>
      <x:c r="D12" s="20" t="str">
        <x:v>S1</x:v>
      </x:c>
    </x:row>
    <x:row r="13">
      <x:c r="A13" s="20" t="str">
        <x:v>Seguro y administración</x:v>
      </x:c>
      <x:c r="B13" s="54" t="n">
        <x:v>40000</x:v>
      </x:c>
      <x:c r="C13" s="20" t="str">
        <x:v>USD/año</x:v>
      </x:c>
      <x:c r="D13" s="20" t="str">
        <x:v>S1</x:v>
      </x:c>
    </x:row>
    <x:row r="14">
      <x:c r="A14" s="20" t="str">
        <x:v>Crecimiento de tarifa</x:v>
      </x:c>
      <x:c r="B14" s="55" t="n">
        <x:v>0.025</x:v>
      </x:c>
      <x:c r="C14" s="20" t="str">
        <x:v>% anual</x:v>
      </x:c>
      <x:c r="D14" s="20" t="str">
        <x:v>S1</x:v>
      </x:c>
    </x:row>
    <x:row r="15">
      <x:c r="A15" s="20" t="str">
        <x:v>Crecimiento ahorro por continuidad</x:v>
      </x:c>
      <x:c r="B15" s="55" t="n">
        <x:v>0.015</x:v>
      </x:c>
      <x:c r="C15" s="20" t="str">
        <x:v>% anual</x:v>
      </x:c>
      <x:c r="D15" s="20" t="str">
        <x:v>S1</x:v>
      </x:c>
    </x:row>
    <x:row r="16">
      <x:c r="A16" s="20" t="str">
        <x:v>Inflación de OPEX</x:v>
      </x:c>
      <x:c r="B16" s="55" t="n">
        <x:v>0.02</x:v>
      </x:c>
      <x:c r="C16" s="20" t="str">
        <x:v>% anual</x:v>
      </x:c>
      <x:c r="D16" s="20" t="str">
        <x:v>S1</x:v>
      </x:c>
    </x:row>
    <x:row r="17">
      <x:c r="A17" s="20" t="str">
        <x:v>Degradación de generación</x:v>
      </x:c>
      <x:c r="B17" s="55" t="n">
        <x:v>0.005</x:v>
      </x:c>
      <x:c r="C17" s="20" t="str">
        <x:v>% anual</x:v>
      </x:c>
      <x:c r="D17" s="20" t="str">
        <x:v>S1</x:v>
      </x:c>
    </x:row>
    <x:row r="18">
      <x:c r="A18" s="20" t="str">
        <x:v>Impuesto a la renta</x:v>
      </x:c>
      <x:c r="B18" s="55" t="n">
        <x:v>0.25</x:v>
      </x:c>
      <x:c r="C18" s="20" t="str">
        <x:v>%</x:v>
      </x:c>
      <x:c r="D18" s="20" t="str">
        <x:v>Supuesto académico</x:v>
      </x:c>
    </x:row>
    <x:row r="19">
      <x:c r="A19" s="20" t="str">
        <x:v>Vida del proyecto</x:v>
      </x:c>
      <x:c r="B19" s="54" t="n">
        <x:v>15</x:v>
      </x:c>
      <x:c r="C19" s="20" t="str">
        <x:v>años</x:v>
      </x:c>
      <x:c r="D19" s="20" t="str">
        <x:v>S1</x:v>
      </x:c>
    </x:row>
    <x:row r="20">
      <x:c r="A20" s="20" t="str">
        <x:v>Reposición parcial de batería</x:v>
      </x:c>
      <x:c r="B20" s="54" t="n">
        <x:v>800000</x:v>
      </x:c>
      <x:c r="C20" s="20" t="str">
        <x:v>USD</x:v>
      </x:c>
      <x:c r="D20" s="20" t="str">
        <x:v>S1</x:v>
      </x:c>
    </x:row>
    <x:row r="21">
      <x:c r="A21" s="20" t="str">
        <x:v>Año de reposición</x:v>
      </x:c>
      <x:c r="B21" s="54" t="n">
        <x:v>9</x:v>
      </x:c>
      <x:c r="C21" s="20" t="str">
        <x:v>año</x:v>
      </x:c>
      <x:c r="D21" s="20" t="str">
        <x:v>S1</x:v>
      </x:c>
    </x:row>
    <x:row r="22">
      <x:c r="A22" s="20" t="str">
        <x:v>Valor residual</x:v>
      </x:c>
      <x:c r="B22" s="54" t="n">
        <x:v>300000</x:v>
      </x:c>
      <x:c r="C22" s="20" t="str">
        <x:v>USD</x:v>
      </x:c>
      <x:c r="D22" s="20" t="str">
        <x:v>S1</x:v>
      </x:c>
    </x:row>
    <x:row r="23">
      <x:c r="A23" s="20" t="str">
        <x:v>Proporción deuda</x:v>
      </x:c>
      <x:c r="B23" s="55" t="n">
        <x:v>0.7</x:v>
      </x:c>
      <x:c r="C23" s="20" t="str">
        <x:v>%</x:v>
      </x:c>
      <x:c r="D23" s="20" t="str">
        <x:v>Estructura propuesta</x:v>
      </x:c>
    </x:row>
    <x:row r="24">
      <x:c r="A24" s="20" t="str">
        <x:v>Proporción patrimonio</x:v>
      </x:c>
      <x:c r="B24" s="55" t="n">
        <x:v>0.3</x:v>
      </x:c>
      <x:c r="C24" s="20" t="str">
        <x:v>%</x:v>
      </x:c>
      <x:c r="D24" s="20" t="str">
        <x:v>Estructura propuesta</x:v>
      </x:c>
    </x:row>
    <x:row r="25">
      <x:c r="A25" s="20" t="str">
        <x:v>Costo de deuda antes de impuestos</x:v>
      </x:c>
      <x:c r="B25" s="55" t="n">
        <x:v>0.0789</x:v>
      </x:c>
      <x:c r="C25" s="20" t="str">
        <x:v>%</x:v>
      </x:c>
      <x:c r="D25" s="20" t="str">
        <x:v>BCE, tasa máxima productiva corporativa jul-2026</x:v>
      </x:c>
    </x:row>
    <x:row r="26">
      <x:c r="A26" s="20" t="str">
        <x:v>Tasa libre de riesgo</x:v>
      </x:c>
      <x:c r="B26" s="55" t="n">
        <x:v>0.055</x:v>
      </x:c>
      <x:c r="C26" s="20" t="str">
        <x:v>%</x:v>
      </x:c>
      <x:c r="D26" s="20" t="str">
        <x:v>Supuesto académico</x:v>
      </x:c>
    </x:row>
    <x:row r="27">
      <x:c r="A27" s="20" t="str">
        <x:v>Beta apalancada</x:v>
      </x:c>
      <x:c r="B27" s="56" t="n">
        <x:v>1.1</x:v>
      </x:c>
      <x:c r="C27" s="20" t="str">
        <x:v>x</x:v>
      </x:c>
      <x:c r="D27" s="20" t="str">
        <x:v>Supuesto académico</x:v>
      </x:c>
    </x:row>
    <x:row r="28">
      <x:c r="A28" s="20" t="str">
        <x:v>Prima de mercado</x:v>
      </x:c>
      <x:c r="B28" s="55" t="n">
        <x:v>0.11</x:v>
      </x:c>
      <x:c r="C28" s="20" t="str">
        <x:v>%</x:v>
      </x:c>
      <x:c r="D28" s="20" t="str">
        <x:v>Supuesto académico</x:v>
      </x:c>
    </x:row>
    <x:row r="29">
      <x:c r="A29" s="20" t="str">
        <x:v>Prima de riesgo país</x:v>
      </x:c>
      <x:c r="B29" s="55" t="n">
        <x:v>0.035925</x:v>
      </x:c>
      <x:c r="C29" s="20" t="str">
        <x:v>%</x:v>
      </x:c>
      <x:c r="D29" s="20" t="str">
        <x:v>Supuesto académico</x:v>
      </x:c>
    </x:row>
    <x:row r="30">
      <x:c r="A30" s="20"/>
      <x:c r="B30" s="20"/>
      <x:c r="C30" s="20"/>
      <x:c r="D30" s="20"/>
    </x:row>
    <x:row r="31">
      <x:c r="A31" s="57" t="str">
        <x:v>COSTO DE CAPITAL</x:v>
      </x:c>
      <x:c r="B31" s="20"/>
      <x:c r="C31" s="20"/>
      <x:c r="D31" s="20"/>
    </x:row>
    <x:row r="32">
      <x:c r="A32" s="20" t="str">
        <x:v>Costo del patrimonio (CAPM ajustado)</x:v>
      </x:c>
      <x:c r="B32" s="58" t="n">
        <x:f>B26+B27*B28+B29</x:f>
        <x:v>0.21192500000000003</x:v>
      </x:c>
      <x:c r="C32" s="20" t="str">
        <x:v>%</x:v>
      </x:c>
      <x:c r="D32" s="20" t="str">
        <x:v>Rf + Beta × prima de mercado + prima país</x:v>
      </x:c>
    </x:row>
    <x:row r="33">
      <x:c r="A33" s="20" t="str">
        <x:v>WACC</x:v>
      </x:c>
      <x:c r="B33" s="58" t="n">
        <x:f>B23*B25*(1-B18)+B24*B32</x:f>
        <x:v>0.10500000000000001</x:v>
      </x:c>
      <x:c r="C33" s="20" t="str">
        <x:v>%</x:v>
      </x:c>
      <x:c r="D33" s="20" t="str">
        <x:v>Deuda después de impuestos + patrimonio</x:v>
      </x:c>
    </x:row>
  </x:sheetData>
  <x:mergeCells>
    <x:mergeCell ref="A1:D1"/>
    <x:mergeCell ref="A31:D3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8" hidden="0" customWidth="1"/>
    <x:col min="3" max="3" width="34" hidden="0" customWidth="1"/>
    <x:col min="4" max="4" width="18" hidden="0" customWidth="1"/>
    <x:col min="5" max="5" width="20" hidden="0" customWidth="1"/>
    <x:col min="6" max="6" width="17" hidden="0" customWidth="1"/>
    <x:col min="7" max="7" width="15" hidden="0" customWidth="1"/>
    <x:col min="8" max="8" width="17" hidden="0" customWidth="1"/>
    <x:col min="9" max="9" width="16" hidden="0" customWidth="1"/>
    <x:col min="10" max="10" width="17" hidden="0" customWidth="1"/>
    <x:col min="11" max="11" width="16" hidden="0" customWidth="1"/>
    <x:col min="12" max="12" width="15" hidden="0" customWidth="1"/>
    <x:col min="13" max="13" width="19" hidden="0" customWidth="1"/>
    <x:col min="14" max="14" width="15" hidden="0" customWidth="1"/>
    <x:col min="15" max="15" width="20" hidden="0" customWidth="1"/>
    <x:col min="16" max="16" width="15" hidden="0" customWidth="1"/>
    <x:col min="17" max="17" width="16" hidden="0" customWidth="1"/>
    <x:col min="18" max="18" width="15" hidden="0" customWidth="1"/>
    <x:col min="19" max="19" width="19" hidden="0" customWidth="1"/>
  </x:cols>
  <x:sheetData>
    <x:row r="1" ht="28" customHeight="1">
      <x:c r="A1" s="5" t="str">
        <x:v>FLUJO DE CAJA LIBRE DEL PROYECTO — ESCENARIO BASE</x:v>
      </x:c>
    </x:row>
    <x:row r="3">
      <x:c r="A3" s="14" t="str">
        <x:v>Año</x:v>
      </x:c>
      <x:c r="B3" s="14" t="str">
        <x:v>Generación (MWh)</x:v>
      </x:c>
      <x:c r="C3" s="14" t="str">
        <x:v>Tarifa (USD/kWh)</x:v>
      </x:c>
      <x:c r="D3" s="14" t="str">
        <x:v>Ahorro energía (USD)</x:v>
      </x:c>
      <x:c r="E3" s="14" t="str">
        <x:v>Ahorro continuidad (USD)</x:v>
      </x:c>
      <x:c r="F3" s="14" t="str">
        <x:v>Beneficios (USD)</x:v>
      </x:c>
      <x:c r="G3" s="14" t="str">
        <x:v>O&amp;M (USD)</x:v>
      </x:c>
      <x:c r="H3" s="14" t="str">
        <x:v>Seguro/admin (USD)</x:v>
      </x:c>
      <x:c r="I3" s="14" t="str">
        <x:v>EBITDA (USD)</x:v>
      </x:c>
      <x:c r="J3" s="14" t="str">
        <x:v>Depreciación (USD)</x:v>
      </x:c>
      <x:c r="K3" s="14" t="str">
        <x:v>EBIT (USD)</x:v>
      </x:c>
      <x:c r="L3" s="14" t="str">
        <x:v>Impuesto (USD)</x:v>
      </x:c>
      <x:c r="M3" s="14" t="str">
        <x:v>Flujo operativo (USD)</x:v>
      </x:c>
      <x:c r="N3" s="14" t="str">
        <x:v>CAPEX (USD)</x:v>
      </x:c>
      <x:c r="O3" s="14" t="str">
        <x:v>Δ capital trabajo (USD)</x:v>
      </x:c>
      <x:c r="P3" s="14" t="str">
        <x:v>Residual (USD)</x:v>
      </x:c>
      <x:c r="Q3" s="14" t="str">
        <x:v>FCF (USD)</x:v>
      </x:c>
      <x:c r="R3" s="14" t="str">
        <x:v>Factor descuento</x:v>
      </x:c>
      <x:c r="S3" s="14" t="str">
        <x:v>Valor presente (USD)</x:v>
      </x:c>
    </x:row>
    <x:row r="4">
      <x:c r="A4" s="38" t="n">
        <x:v>0</x:v>
      </x:c>
      <x:c r="B4" s="74" t="n">
        <x:v>0</x:v>
      </x:c>
      <x:c r="C4" s="76" t="n">
        <x:v>0</x:v>
      </x:c>
      <x:c r="D4" s="22" t="n">
        <x:v>0</x:v>
      </x:c>
      <x:c r="E4" s="22" t="n">
        <x:v>0</x:v>
      </x:c>
      <x:c r="F4" s="22" t="n">
        <x:v>0</x:v>
      </x:c>
      <x:c r="G4" s="22" t="n">
        <x:v>0</x:v>
      </x:c>
      <x:c r="H4" s="22" t="n">
        <x:v>0</x:v>
      </x:c>
      <x:c r="I4" s="22" t="n">
        <x:v>0</x:v>
      </x:c>
      <x:c r="J4" s="22" t="n">
        <x:v>0</x:v>
      </x:c>
      <x:c r="K4" s="22" t="n">
        <x:v>0</x:v>
      </x:c>
      <x:c r="L4" s="22" t="n">
        <x:v>0</x:v>
      </x:c>
      <x:c r="M4" s="22" t="n">
        <x:v>0</x:v>
      </x:c>
      <x:c r="N4" s="64" t="n">
        <x:f>-Supuestos_Proyecto!$B$4</x:f>
        <x:v>-6000000</x:v>
      </x:c>
      <x:c r="O4" s="64" t="n">
        <x:f>-Supuestos_Proyecto!$B$5</x:f>
        <x:v>-80000</x:v>
      </x:c>
      <x:c r="P4" s="64" t="n">
        <x:v>0</x:v>
      </x:c>
      <x:c r="Q4" s="64" t="n">
        <x:f>SUM(M4:P4)</x:f>
        <x:v>-6080000</x:v>
      </x:c>
      <x:c r="R4" s="66" t="n">
        <x:v>1</x:v>
      </x:c>
      <x:c r="S4" s="64" t="n">
        <x:f>Q4*R4</x:f>
        <x:v>-6080000</x:v>
      </x:c>
    </x:row>
    <x:row r="5">
      <x:c r="A5" s="38" t="n">
        <x:v>1</x:v>
      </x:c>
      <x:c r="B5" s="80" t="n">
        <x:f>Supuestos_Proyecto!$B$8*(1-Supuestos_Proyecto!$B$17)^(A5-1)</x:f>
        <x:v>8250</x:v>
      </x:c>
      <x:c r="C5" s="81" t="n">
        <x:f>Supuestos_Proyecto!$B$10*(1+Supuestos_Proyecto!$B$14)^(A5-1)</x:f>
        <x:v>0.095</x:v>
      </x:c>
      <x:c r="D5" s="82" t="n">
        <x:f>B5*1000*C5*Supuestos_Proyecto!$B$9</x:f>
        <x:v>744562.5</x:v>
      </x:c>
      <x:c r="E5" s="82" t="n">
        <x:f>Supuestos_Proyecto!$B$11*(1+Supuestos_Proyecto!$B$15)^(A5-1)</x:f>
        <x:v>500000</x:v>
      </x:c>
      <x:c r="F5" s="82" t="n">
        <x:f>D5+E5</x:f>
        <x:v>1244562.5</x:v>
      </x:c>
      <x:c r="G5" s="82" t="n">
        <x:f>Supuestos_Proyecto!$B$12*(1+Supuestos_Proyecto!$B$16)^(A5-1)</x:f>
        <x:v>120000</x:v>
      </x:c>
      <x:c r="H5" s="82" t="n">
        <x:f>Supuestos_Proyecto!$B$13*(1+Supuestos_Proyecto!$B$16)^(A5-1)</x:f>
        <x:v>40000</x:v>
      </x:c>
      <x:c r="I5" s="82" t="n">
        <x:f>F5-G5-H5</x:f>
        <x:v>1084562.5</x:v>
      </x:c>
      <x:c r="J5" s="82" t="n">
        <x:f>Supuestos_Proyecto!$B$4/Supuestos_Proyecto!$B$19</x:f>
        <x:v>400000</x:v>
      </x:c>
      <x:c r="K5" s="82" t="n">
        <x:f>I5-J5</x:f>
        <x:v>684562.5</x:v>
      </x:c>
      <x:c r="L5" s="82" t="n">
        <x:f>MAX(0,K5*Supuestos_Proyecto!$B$18)</x:f>
        <x:v>171140.625</x:v>
      </x:c>
      <x:c r="M5" s="82" t="n">
        <x:f>K5-L5+J5</x:f>
        <x:v>913421.875</x:v>
      </x:c>
      <x:c r="N5" s="82" t="n">
        <x:f>IF(A5=Supuestos_Proyecto!$B$21,-Supuestos_Proyecto!$B$20,0)</x:f>
        <x:v>0</x:v>
      </x:c>
      <x:c r="O5" s="82" t="n">
        <x:v>0</x:v>
      </x:c>
      <x:c r="P5" s="82" t="n">
        <x:f>IF(A5=Supuestos_Proyecto!$B$19,Supuestos_Proyecto!$B$22+Supuestos_Proyecto!$B$5,0)</x:f>
        <x:v>0</x:v>
      </x:c>
      <x:c r="Q5" s="82" t="n">
        <x:f>SUM(M5:P5)</x:f>
        <x:v>913421.875</x:v>
      </x:c>
      <x:c r="R5" s="32" t="n">
        <x:f>1/(1+Supuestos_Proyecto!$B$33)^A5</x:f>
        <x:v>0.9049773755656109</x:v>
      </x:c>
      <x:c r="S5" s="82" t="n">
        <x:f>Q5*R5</x:f>
        <x:v>826626.1312217194</x:v>
      </x:c>
    </x:row>
    <x:row r="6">
      <x:c r="A6" s="38" t="n">
        <x:v>2</x:v>
      </x:c>
      <x:c r="B6" s="80" t="n">
        <x:f>Supuestos_Proyecto!$B$8*(1-Supuestos_Proyecto!$B$17)^(A6-1)</x:f>
        <x:v>8208.75</x:v>
      </x:c>
      <x:c r="C6" s="81" t="n">
        <x:f>Supuestos_Proyecto!$B$10*(1+Supuestos_Proyecto!$B$14)^(A6-1)</x:f>
        <x:v>0.09737499999999999</x:v>
      </x:c>
      <x:c r="D6" s="82" t="n">
        <x:f>B6*1000*C6*Supuestos_Proyecto!$B$9</x:f>
        <x:v>759360.6796874999</x:v>
      </x:c>
      <x:c r="E6" s="82" t="n">
        <x:f>Supuestos_Proyecto!$B$11*(1+Supuestos_Proyecto!$B$15)^(A6-1)</x:f>
        <x:v>507499.99999999994</x:v>
      </x:c>
      <x:c r="F6" s="82" t="n">
        <x:f>D6+E6</x:f>
        <x:v>1266860.6796874998</x:v>
      </x:c>
      <x:c r="G6" s="82" t="n">
        <x:f>Supuestos_Proyecto!$B$12*(1+Supuestos_Proyecto!$B$16)^(A6-1)</x:f>
        <x:v>122400</x:v>
      </x:c>
      <x:c r="H6" s="82" t="n">
        <x:f>Supuestos_Proyecto!$B$13*(1+Supuestos_Proyecto!$B$16)^(A6-1)</x:f>
        <x:v>40800</x:v>
      </x:c>
      <x:c r="I6" s="82" t="n">
        <x:f>F6-G6-H6</x:f>
        <x:v>1103660.6796874998</x:v>
      </x:c>
      <x:c r="J6" s="82" t="n">
        <x:f>Supuestos_Proyecto!$B$4/Supuestos_Proyecto!$B$19</x:f>
        <x:v>400000</x:v>
      </x:c>
      <x:c r="K6" s="82" t="n">
        <x:f>I6-J6</x:f>
        <x:v>703660.6796874998</x:v>
      </x:c>
      <x:c r="L6" s="82" t="n">
        <x:f>MAX(0,K6*Supuestos_Proyecto!$B$18)</x:f>
        <x:v>175915.16992187494</x:v>
      </x:c>
      <x:c r="M6" s="82" t="n">
        <x:f>K6-L6+J6</x:f>
        <x:v>927745.5097656248</x:v>
      </x:c>
      <x:c r="N6" s="82" t="n">
        <x:f>IF(A6=Supuestos_Proyecto!$B$21,-Supuestos_Proyecto!$B$20,0)</x:f>
        <x:v>0</x:v>
      </x:c>
      <x:c r="O6" s="82" t="n">
        <x:v>0</x:v>
      </x:c>
      <x:c r="P6" s="82" t="n">
        <x:f>IF(A6=Supuestos_Proyecto!$B$19,Supuestos_Proyecto!$B$22+Supuestos_Proyecto!$B$5,0)</x:f>
        <x:v>0</x:v>
      </x:c>
      <x:c r="Q6" s="82" t="n">
        <x:f>SUM(M6:P6)</x:f>
        <x:v>927745.5097656248</x:v>
      </x:c>
      <x:c r="R6" s="32" t="n">
        <x:f>1/(1+Supuestos_Proyecto!$B$33)^A6</x:f>
        <x:v>0.8189840502856207</x:v>
      </x:c>
      <x:c r="S6" s="82" t="n">
        <x:f>Q6*R6</x:f>
        <x:v>759808.7752221492</x:v>
      </x:c>
    </x:row>
    <x:row r="7">
      <x:c r="A7" s="38" t="n">
        <x:v>3</x:v>
      </x:c>
      <x:c r="B7" s="80" t="n">
        <x:f>Supuestos_Proyecto!$B$8*(1-Supuestos_Proyecto!$B$17)^(A7-1)</x:f>
        <x:v>8167.70625</x:v>
      </x:c>
      <x:c r="C7" s="81" t="n">
        <x:f>Supuestos_Proyecto!$B$10*(1+Supuestos_Proyecto!$B$14)^(A7-1)</x:f>
        <x:v>0.09980937499999999</x:v>
      </x:c>
      <x:c r="D7" s="82" t="n">
        <x:f>B7*1000*C7*Supuestos_Proyecto!$B$9</x:f>
        <x:v>774452.9731962889</x:v>
      </x:c>
      <x:c r="E7" s="82" t="n">
        <x:f>Supuestos_Proyecto!$B$11*(1+Supuestos_Proyecto!$B$15)^(A7-1)</x:f>
        <x:v>515112.4999999999</x:v>
      </x:c>
      <x:c r="F7" s="82" t="n">
        <x:f>D7+E7</x:f>
        <x:v>1289565.4731962888</x:v>
      </x:c>
      <x:c r="G7" s="82" t="n">
        <x:f>Supuestos_Proyecto!$B$12*(1+Supuestos_Proyecto!$B$16)^(A7-1)</x:f>
        <x:v>124848</x:v>
      </x:c>
      <x:c r="H7" s="82" t="n">
        <x:f>Supuestos_Proyecto!$B$13*(1+Supuestos_Proyecto!$B$16)^(A7-1)</x:f>
        <x:v>41616</x:v>
      </x:c>
      <x:c r="I7" s="82" t="n">
        <x:f>F7-G7-H7</x:f>
        <x:v>1123101.4731962888</x:v>
      </x:c>
      <x:c r="J7" s="82" t="n">
        <x:f>Supuestos_Proyecto!$B$4/Supuestos_Proyecto!$B$19</x:f>
        <x:v>400000</x:v>
      </x:c>
      <x:c r="K7" s="82" t="n">
        <x:f>I7-J7</x:f>
        <x:v>723101.4731962888</x:v>
      </x:c>
      <x:c r="L7" s="82" t="n">
        <x:f>MAX(0,K7*Supuestos_Proyecto!$B$18)</x:f>
        <x:v>180775.3682990722</x:v>
      </x:c>
      <x:c r="M7" s="82" t="n">
        <x:f>K7-L7+J7</x:f>
        <x:v>942326.1048972167</x:v>
      </x:c>
      <x:c r="N7" s="82" t="n">
        <x:f>IF(A7=Supuestos_Proyecto!$B$21,-Supuestos_Proyecto!$B$20,0)</x:f>
        <x:v>0</x:v>
      </x:c>
      <x:c r="O7" s="82" t="n">
        <x:v>0</x:v>
      </x:c>
      <x:c r="P7" s="82" t="n">
        <x:f>IF(A7=Supuestos_Proyecto!$B$19,Supuestos_Proyecto!$B$22+Supuestos_Proyecto!$B$5,0)</x:f>
        <x:v>0</x:v>
      </x:c>
      <x:c r="Q7" s="82" t="n">
        <x:f>SUM(M7:P7)</x:f>
        <x:v>942326.1048972167</x:v>
      </x:c>
      <x:c r="R7" s="32" t="n">
        <x:f>1/(1+Supuestos_Proyecto!$B$33)^A7</x:f>
        <x:v>0.7411620364575753</x:v>
      </x:c>
      <x:c r="S7" s="82" t="n">
        <x:f>Q7*R7</x:f>
        <x:v>698416.3349127558</x:v>
      </x:c>
    </x:row>
    <x:row r="8">
      <x:c r="A8" s="38" t="n">
        <x:v>4</x:v>
      </x:c>
      <x:c r="B8" s="80" t="n">
        <x:f>Supuestos_Proyecto!$B$8*(1-Supuestos_Proyecto!$B$17)^(A8-1)</x:f>
        <x:v>8126.86771875</x:v>
      </x:c>
      <x:c r="C8" s="81" t="n">
        <x:f>Supuestos_Proyecto!$B$10*(1+Supuestos_Proyecto!$B$14)^(A8-1)</x:f>
        <x:v>0.102304609375</x:v>
      </x:c>
      <x:c r="D8" s="82" t="n">
        <x:f>B8*1000*C8*Supuestos_Proyecto!$B$9</x:f>
        <x:v>789845.2260385652</x:v>
      </x:c>
      <x:c r="E8" s="82" t="n">
        <x:f>Supuestos_Proyecto!$B$11*(1+Supuestos_Proyecto!$B$15)^(A8-1)</x:f>
        <x:v>522839.1874999998</x:v>
      </x:c>
      <x:c r="F8" s="82" t="n">
        <x:f>D8+E8</x:f>
        <x:v>1312684.413538565</x:v>
      </x:c>
      <x:c r="G8" s="82" t="n">
        <x:f>Supuestos_Proyecto!$B$12*(1+Supuestos_Proyecto!$B$16)^(A8-1)</x:f>
        <x:v>127344.95999999999</x:v>
      </x:c>
      <x:c r="H8" s="82" t="n">
        <x:f>Supuestos_Proyecto!$B$13*(1+Supuestos_Proyecto!$B$16)^(A8-1)</x:f>
        <x:v>42448.32</x:v>
      </x:c>
      <x:c r="I8" s="82" t="n">
        <x:f>F8-G8-H8</x:f>
        <x:v>1142891.133538565</x:v>
      </x:c>
      <x:c r="J8" s="82" t="n">
        <x:f>Supuestos_Proyecto!$B$4/Supuestos_Proyecto!$B$19</x:f>
        <x:v>400000</x:v>
      </x:c>
      <x:c r="K8" s="82" t="n">
        <x:f>I8-J8</x:f>
        <x:v>742891.1335385649</x:v>
      </x:c>
      <x:c r="L8" s="82" t="n">
        <x:f>MAX(0,K8*Supuestos_Proyecto!$B$18)</x:f>
        <x:v>185722.78338464122</x:v>
      </x:c>
      <x:c r="M8" s="82" t="n">
        <x:f>K8-L8+J8</x:f>
        <x:v>957168.3501539237</x:v>
      </x:c>
      <x:c r="N8" s="82" t="n">
        <x:f>IF(A8=Supuestos_Proyecto!$B$21,-Supuestos_Proyecto!$B$20,0)</x:f>
        <x:v>0</x:v>
      </x:c>
      <x:c r="O8" s="82" t="n">
        <x:v>0</x:v>
      </x:c>
      <x:c r="P8" s="82" t="n">
        <x:f>IF(A8=Supuestos_Proyecto!$B$19,Supuestos_Proyecto!$B$22+Supuestos_Proyecto!$B$5,0)</x:f>
        <x:v>0</x:v>
      </x:c>
      <x:c r="Q8" s="82" t="n">
        <x:f>SUM(M8:P8)</x:f>
        <x:v>957168.3501539237</x:v>
      </x:c>
      <x:c r="R8" s="32" t="n">
        <x:f>1/(1+Supuestos_Proyecto!$B$33)^A8</x:f>
        <x:v>0.67073487462224</x:v>
      </x:c>
      <x:c r="S8" s="82" t="n">
        <x:f>Q8*R8</x:f>
        <x:v>642006.1933328684</x:v>
      </x:c>
    </x:row>
    <x:row r="9">
      <x:c r="A9" s="38" t="n">
        <x:v>5</x:v>
      </x:c>
      <x:c r="B9" s="80" t="n">
        <x:f>Supuestos_Proyecto!$B$8*(1-Supuestos_Proyecto!$B$17)^(A9-1)</x:f>
        <x:v>8086.233380156251</x:v>
      </x:c>
      <x:c r="C9" s="81" t="n">
        <x:f>Supuestos_Proyecto!$B$10*(1+Supuestos_Proyecto!$B$14)^(A9-1)</x:f>
        <x:v>0.10486222460937498</x:v>
      </x:c>
      <x:c r="D9" s="82" t="n">
        <x:f>B9*1000*C9*Supuestos_Proyecto!$B$9</x:f>
        <x:v>805543.3999060817</x:v>
      </x:c>
      <x:c r="E9" s="82" t="n">
        <x:f>Supuestos_Proyecto!$B$11*(1+Supuestos_Proyecto!$B$15)^(A9-1)</x:f>
        <x:v>530681.7753124997</x:v>
      </x:c>
      <x:c r="F9" s="82" t="n">
        <x:f>D9+E9</x:f>
        <x:v>1336225.1752185815</x:v>
      </x:c>
      <x:c r="G9" s="82" t="n">
        <x:f>Supuestos_Proyecto!$B$12*(1+Supuestos_Proyecto!$B$16)^(A9-1)</x:f>
        <x:v>129891.85919999999</x:v>
      </x:c>
      <x:c r="H9" s="82" t="n">
        <x:f>Supuestos_Proyecto!$B$13*(1+Supuestos_Proyecto!$B$16)^(A9-1)</x:f>
        <x:v>43297.2864</x:v>
      </x:c>
      <x:c r="I9" s="82" t="n">
        <x:f>F9-G9-H9</x:f>
        <x:v>1163036.0296185813</x:v>
      </x:c>
      <x:c r="J9" s="82" t="n">
        <x:f>Supuestos_Proyecto!$B$4/Supuestos_Proyecto!$B$19</x:f>
        <x:v>400000</x:v>
      </x:c>
      <x:c r="K9" s="82" t="n">
        <x:f>I9-J9</x:f>
        <x:v>763036.0296185813</x:v>
      </x:c>
      <x:c r="L9" s="82" t="n">
        <x:f>MAX(0,K9*Supuestos_Proyecto!$B$18)</x:f>
        <x:v>190759.00740464532</x:v>
      </x:c>
      <x:c r="M9" s="82" t="n">
        <x:f>K9-L9+J9</x:f>
        <x:v>972277.022213936</x:v>
      </x:c>
      <x:c r="N9" s="82" t="n">
        <x:f>IF(A9=Supuestos_Proyecto!$B$21,-Supuestos_Proyecto!$B$20,0)</x:f>
        <x:v>0</x:v>
      </x:c>
      <x:c r="O9" s="82" t="n">
        <x:v>0</x:v>
      </x:c>
      <x:c r="P9" s="82" t="n">
        <x:f>IF(A9=Supuestos_Proyecto!$B$19,Supuestos_Proyecto!$B$22+Supuestos_Proyecto!$B$5,0)</x:f>
        <x:v>0</x:v>
      </x:c>
      <x:c r="Q9" s="82" t="n">
        <x:f>SUM(M9:P9)</x:f>
        <x:v>972277.022213936</x:v>
      </x:c>
      <x:c r="R9" s="32" t="n">
        <x:f>1/(1+Supuestos_Proyecto!$B$33)^A9</x:f>
        <x:v>0.6069998865359638</x:v>
      </x:c>
      <x:c r="S9" s="82" t="n">
        <x:f>Q9*R9</x:f>
        <x:v>590172.0421653839</x:v>
      </x:c>
    </x:row>
    <x:row r="10">
      <x:c r="A10" s="38" t="n">
        <x:v>6</x:v>
      </x:c>
      <x:c r="B10" s="80" t="n">
        <x:f>Supuestos_Proyecto!$B$8*(1-Supuestos_Proyecto!$B$17)^(A10-1)</x:f>
        <x:v>8045.80221325547</x:v>
      </x:c>
      <x:c r="C10" s="81" t="n">
        <x:f>Supuestos_Proyecto!$B$10*(1+Supuestos_Proyecto!$B$14)^(A10-1)</x:f>
        <x:v>0.10748378022460935</x:v>
      </x:c>
      <x:c r="D10" s="82" t="n">
        <x:f>B10*1000*C10*Supuestos_Proyecto!$B$9</x:f>
        <x:v>821553.574979215</x:v>
      </x:c>
      <x:c r="E10" s="82" t="n">
        <x:f>Supuestos_Proyecto!$B$11*(1+Supuestos_Proyecto!$B$15)^(A10-1)</x:f>
        <x:v>538642.0019421872</x:v>
      </x:c>
      <x:c r="F10" s="82" t="n">
        <x:f>D10+E10</x:f>
        <x:v>1360195.5769214022</x:v>
      </x:c>
      <x:c r="G10" s="82" t="n">
        <x:f>Supuestos_Proyecto!$B$12*(1+Supuestos_Proyecto!$B$16)^(A10-1)</x:f>
        <x:v>132489.696384</x:v>
      </x:c>
      <x:c r="H10" s="82" t="n">
        <x:f>Supuestos_Proyecto!$B$13*(1+Supuestos_Proyecto!$B$16)^(A10-1)</x:f>
        <x:v>44163.232128</x:v>
      </x:c>
      <x:c r="I10" s="82" t="n">
        <x:f>F10-G10-H10</x:f>
        <x:v>1183542.6484094025</x:v>
      </x:c>
      <x:c r="J10" s="82" t="n">
        <x:f>Supuestos_Proyecto!$B$4/Supuestos_Proyecto!$B$19</x:f>
        <x:v>400000</x:v>
      </x:c>
      <x:c r="K10" s="82" t="n">
        <x:f>I10-J10</x:f>
        <x:v>783542.6484094025</x:v>
      </x:c>
      <x:c r="L10" s="82" t="n">
        <x:f>MAX(0,K10*Supuestos_Proyecto!$B$18)</x:f>
        <x:v>195885.66210235062</x:v>
      </x:c>
      <x:c r="M10" s="82" t="n">
        <x:f>K10-L10+J10</x:f>
        <x:v>987656.9863070518</x:v>
      </x:c>
      <x:c r="N10" s="82" t="n">
        <x:f>IF(A10=Supuestos_Proyecto!$B$21,-Supuestos_Proyecto!$B$20,0)</x:f>
        <x:v>0</x:v>
      </x:c>
      <x:c r="O10" s="82" t="n">
        <x:v>0</x:v>
      </x:c>
      <x:c r="P10" s="82" t="n">
        <x:f>IF(A10=Supuestos_Proyecto!$B$19,Supuestos_Proyecto!$B$22+Supuestos_Proyecto!$B$5,0)</x:f>
        <x:v>0</x:v>
      </x:c>
      <x:c r="Q10" s="82" t="n">
        <x:f>SUM(M10:P10)</x:f>
        <x:v>987656.9863070518</x:v>
      </x:c>
      <x:c r="R10" s="32" t="n">
        <x:f>1/(1+Supuestos_Proyecto!$B$33)^A10</x:f>
        <x:v>0.54932116428594</x:v>
      </x:c>
      <x:c r="S10" s="82" t="n">
        <x:f>Q10*R10</x:f>
        <x:v>542540.8856333324</x:v>
      </x:c>
    </x:row>
    <x:row r="11">
      <x:c r="A11" s="38" t="n">
        <x:v>7</x:v>
      </x:c>
      <x:c r="B11" s="80" t="n">
        <x:f>Supuestos_Proyecto!$B$8*(1-Supuestos_Proyecto!$B$17)^(A11-1)</x:f>
        <x:v>8005.573202189193</x:v>
      </x:c>
      <x:c r="C11" s="81" t="n">
        <x:f>Supuestos_Proyecto!$B$10*(1+Supuestos_Proyecto!$B$14)^(A11-1)</x:f>
        <x:v>0.11017087473022456</x:v>
      </x:c>
      <x:c r="D11" s="82" t="n">
        <x:f>B11*1000*C11*Supuestos_Proyecto!$B$9</x:f>
        <x:v>837881.9522819269</x:v>
      </x:c>
      <x:c r="E11" s="82" t="n">
        <x:f>Supuestos_Proyecto!$B$11*(1+Supuestos_Proyecto!$B$15)^(A11-1)</x:f>
        <x:v>546721.6319713198</x:v>
      </x:c>
      <x:c r="F11" s="82" t="n">
        <x:f>D11+E11</x:f>
        <x:v>1384603.5842532467</x:v>
      </x:c>
      <x:c r="G11" s="82" t="n">
        <x:f>Supuestos_Proyecto!$B$12*(1+Supuestos_Proyecto!$B$16)^(A11-1)</x:f>
        <x:v>135139.49031168</x:v>
      </x:c>
      <x:c r="H11" s="82" t="n">
        <x:f>Supuestos_Proyecto!$B$13*(1+Supuestos_Proyecto!$B$16)^(A11-1)</x:f>
        <x:v>45046.49677056</x:v>
      </x:c>
      <x:c r="I11" s="82" t="n">
        <x:f>F11-G11-H11</x:f>
        <x:v>1204417.5971710065</x:v>
      </x:c>
      <x:c r="J11" s="82" t="n">
        <x:f>Supuestos_Proyecto!$B$4/Supuestos_Proyecto!$B$19</x:f>
        <x:v>400000</x:v>
      </x:c>
      <x:c r="K11" s="82" t="n">
        <x:f>I11-J11</x:f>
        <x:v>804417.5971710065</x:v>
      </x:c>
      <x:c r="L11" s="82" t="n">
        <x:f>MAX(0,K11*Supuestos_Proyecto!$B$18)</x:f>
        <x:v>201104.39929275162</x:v>
      </x:c>
      <x:c r="M11" s="82" t="n">
        <x:f>K11-L11+J11</x:f>
        <x:v>1003313.1978782548</x:v>
      </x:c>
      <x:c r="N11" s="82" t="n">
        <x:f>IF(A11=Supuestos_Proyecto!$B$21,-Supuestos_Proyecto!$B$20,0)</x:f>
        <x:v>0</x:v>
      </x:c>
      <x:c r="O11" s="82" t="n">
        <x:v>0</x:v>
      </x:c>
      <x:c r="P11" s="82" t="n">
        <x:f>IF(A11=Supuestos_Proyecto!$B$19,Supuestos_Proyecto!$B$22+Supuestos_Proyecto!$B$5,0)</x:f>
        <x:v>0</x:v>
      </x:c>
      <x:c r="Q11" s="82" t="n">
        <x:f>SUM(M11:P11)</x:f>
        <x:v>1003313.1978782548</x:v>
      </x:c>
      <x:c r="R11" s="32" t="n">
        <x:f>1/(1+Supuestos_Proyecto!$B$33)^A11</x:f>
        <x:v>0.4971232255981358</x:v>
      </x:c>
      <x:c r="S11" s="82" t="n">
        <x:f>Q11*R11</x:f>
        <x:v>498770.29321441875</x:v>
      </x:c>
    </x:row>
    <x:row r="12">
      <x:c r="A12" s="38" t="n">
        <x:v>8</x:v>
      </x:c>
      <x:c r="B12" s="80" t="n">
        <x:f>Supuestos_Proyecto!$B$8*(1-Supuestos_Proyecto!$B$17)^(A12-1)</x:f>
        <x:v>7965.545336178246</x:v>
      </x:c>
      <x:c r="C12" s="81" t="n">
        <x:f>Supuestos_Proyecto!$B$10*(1+Supuestos_Proyecto!$B$14)^(A12-1)</x:f>
        <x:v>0.11292514659848019</x:v>
      </x:c>
      <x:c r="D12" s="82" t="n">
        <x:f>B12*1000*C12*Supuestos_Proyecto!$B$9</x:f>
        <x:v>854534.85608353</x:v>
      </x:c>
      <x:c r="E12" s="82" t="n">
        <x:f>Supuestos_Proyecto!$B$11*(1+Supuestos_Proyecto!$B$15)^(A12-1)</x:f>
        <x:v>554922.4564508896</x:v>
      </x:c>
      <x:c r="F12" s="82" t="n">
        <x:f>D12+E12</x:f>
        <x:v>1409457.3125344196</x:v>
      </x:c>
      <x:c r="G12" s="82" t="n">
        <x:f>Supuestos_Proyecto!$B$12*(1+Supuestos_Proyecto!$B$16)^(A12-1)</x:f>
        <x:v>137842.2801179136</x:v>
      </x:c>
      <x:c r="H12" s="82" t="n">
        <x:f>Supuestos_Proyecto!$B$13*(1+Supuestos_Proyecto!$B$16)^(A12-1)</x:f>
        <x:v>45947.42670597119</x:v>
      </x:c>
      <x:c r="I12" s="82" t="n">
        <x:f>F12-G12-H12</x:f>
        <x:v>1225667.6057105348</x:v>
      </x:c>
      <x:c r="J12" s="82" t="n">
        <x:f>Supuestos_Proyecto!$B$4/Supuestos_Proyecto!$B$19</x:f>
        <x:v>400000</x:v>
      </x:c>
      <x:c r="K12" s="82" t="n">
        <x:f>I12-J12</x:f>
        <x:v>825667.6057105348</x:v>
      </x:c>
      <x:c r="L12" s="82" t="n">
        <x:f>MAX(0,K12*Supuestos_Proyecto!$B$18)</x:f>
        <x:v>206416.9014276337</x:v>
      </x:c>
      <x:c r="M12" s="82" t="n">
        <x:f>K12-L12+J12</x:f>
        <x:v>1019250.7042829011</x:v>
      </x:c>
      <x:c r="N12" s="82" t="n">
        <x:f>IF(A12=Supuestos_Proyecto!$B$21,-Supuestos_Proyecto!$B$20,0)</x:f>
        <x:v>0</x:v>
      </x:c>
      <x:c r="O12" s="82" t="n">
        <x:v>0</x:v>
      </x:c>
      <x:c r="P12" s="82" t="n">
        <x:f>IF(A12=Supuestos_Proyecto!$B$19,Supuestos_Proyecto!$B$22+Supuestos_Proyecto!$B$5,0)</x:f>
        <x:v>0</x:v>
      </x:c>
      <x:c r="Q12" s="82" t="n">
        <x:f>SUM(M12:P12)</x:f>
        <x:v>1019250.7042829011</x:v>
      </x:c>
      <x:c r="R12" s="32" t="n">
        <x:f>1/(1+Supuestos_Proyecto!$B$33)^A12</x:f>
        <x:v>0.44988527203451206</x:v>
      </x:c>
      <x:c r="S12" s="82" t="n">
        <x:f>Q12*R12</x:f>
        <x:v>458545.880367681</x:v>
      </x:c>
    </x:row>
    <x:row r="13">
      <x:c r="A13" s="38" t="n">
        <x:v>9</x:v>
      </x:c>
      <x:c r="B13" s="80" t="n">
        <x:f>Supuestos_Proyecto!$B$8*(1-Supuestos_Proyecto!$B$17)^(A13-1)</x:f>
        <x:v>7925.717609497355</x:v>
      </x:c>
      <x:c r="C13" s="81" t="n">
        <x:f>Supuestos_Proyecto!$B$10*(1+Supuestos_Proyecto!$B$14)^(A13-1)</x:f>
        <x:v>0.11574827526344218</x:v>
      </x:c>
      <x:c r="D13" s="82" t="n">
        <x:f>B13*1000*C13*Supuestos_Proyecto!$B$9</x:f>
        <x:v>871518.7363481902</x:v>
      </x:c>
      <x:c r="E13" s="82" t="n">
        <x:f>Supuestos_Proyecto!$B$11*(1+Supuestos_Proyecto!$B$15)^(A13-1)</x:f>
        <x:v>563246.2932976529</x:v>
      </x:c>
      <x:c r="F13" s="82" t="n">
        <x:f>D13+E13</x:f>
        <x:v>1434765.029645843</x:v>
      </x:c>
      <x:c r="G13" s="82" t="n">
        <x:f>Supuestos_Proyecto!$B$12*(1+Supuestos_Proyecto!$B$16)^(A13-1)</x:f>
        <x:v>140599.12572027187</x:v>
      </x:c>
      <x:c r="H13" s="82" t="n">
        <x:f>Supuestos_Proyecto!$B$13*(1+Supuestos_Proyecto!$B$16)^(A13-1)</x:f>
        <x:v>46866.37524009062</x:v>
      </x:c>
      <x:c r="I13" s="82" t="n">
        <x:f>F13-G13-H13</x:f>
        <x:v>1247299.5286854806</x:v>
      </x:c>
      <x:c r="J13" s="82" t="n">
        <x:f>Supuestos_Proyecto!$B$4/Supuestos_Proyecto!$B$19</x:f>
        <x:v>400000</x:v>
      </x:c>
      <x:c r="K13" s="82" t="n">
        <x:f>I13-J13</x:f>
        <x:v>847299.5286854806</x:v>
      </x:c>
      <x:c r="L13" s="82" t="n">
        <x:f>MAX(0,K13*Supuestos_Proyecto!$B$18)</x:f>
        <x:v>211824.88217137015</x:v>
      </x:c>
      <x:c r="M13" s="82" t="n">
        <x:f>K13-L13+J13</x:f>
        <x:v>1035474.6465141105</x:v>
      </x:c>
      <x:c r="N13" s="82" t="n">
        <x:f>IF(A13=Supuestos_Proyecto!$B$21,-Supuestos_Proyecto!$B$20,0)</x:f>
        <x:v>-800000</x:v>
      </x:c>
      <x:c r="O13" s="82" t="n">
        <x:v>0</x:v>
      </x:c>
      <x:c r="P13" s="82" t="n">
        <x:f>IF(A13=Supuestos_Proyecto!$B$19,Supuestos_Proyecto!$B$22+Supuestos_Proyecto!$B$5,0)</x:f>
        <x:v>0</x:v>
      </x:c>
      <x:c r="Q13" s="82" t="n">
        <x:f>SUM(M13:P13)</x:f>
        <x:v>235474.6465141105</x:v>
      </x:c>
      <x:c r="R13" s="32" t="n">
        <x:f>1/(1+Supuestos_Proyecto!$B$33)^A13</x:f>
        <x:v>0.40713599279141366</x:v>
      </x:c>
      <x:c r="S13" s="82" t="n">
        <x:f>Q13*R13</x:f>
        <x:v>95870.20398572957</x:v>
      </x:c>
    </x:row>
    <x:row r="14">
      <x:c r="A14" s="38" t="n">
        <x:v>10</x:v>
      </x:c>
      <x:c r="B14" s="80" t="n">
        <x:f>Supuestos_Proyecto!$B$8*(1-Supuestos_Proyecto!$B$17)^(A14-1)</x:f>
        <x:v>7886.089021449868</x:v>
      </x:c>
      <x:c r="C14" s="81" t="n">
        <x:f>Supuestos_Proyecto!$B$10*(1+Supuestos_Proyecto!$B$14)^(A14-1)</x:f>
        <x:v>0.11864198214502822</x:v>
      </x:c>
      <x:c r="D14" s="82" t="n">
        <x:f>B14*1000*C14*Supuestos_Proyecto!$B$9</x:f>
        <x:v>888840.1712331102</x:v>
      </x:c>
      <x:c r="E14" s="82" t="n">
        <x:f>Supuestos_Proyecto!$B$11*(1+Supuestos_Proyecto!$B$15)^(A14-1)</x:f>
        <x:v>571694.9876971176</x:v>
      </x:c>
      <x:c r="F14" s="82" t="n">
        <x:f>D14+E14</x:f>
        <x:v>1460535.1589302279</x:v>
      </x:c>
      <x:c r="G14" s="82" t="n">
        <x:f>Supuestos_Proyecto!$B$12*(1+Supuestos_Proyecto!$B$16)^(A14-1)</x:f>
        <x:v>143411.1082346773</x:v>
      </x:c>
      <x:c r="H14" s="82" t="n">
        <x:f>Supuestos_Proyecto!$B$13*(1+Supuestos_Proyecto!$B$16)^(A14-1)</x:f>
        <x:v>47803.702744892435</x:v>
      </x:c>
      <x:c r="I14" s="82" t="n">
        <x:f>F14-G14-H14</x:f>
        <x:v>1269320.3479506583</x:v>
      </x:c>
      <x:c r="J14" s="82" t="n">
        <x:f>Supuestos_Proyecto!$B$4/Supuestos_Proyecto!$B$19</x:f>
        <x:v>400000</x:v>
      </x:c>
      <x:c r="K14" s="82" t="n">
        <x:f>I14-J14</x:f>
        <x:v>869320.3479506583</x:v>
      </x:c>
      <x:c r="L14" s="82" t="n">
        <x:f>MAX(0,K14*Supuestos_Proyecto!$B$18)</x:f>
        <x:v>217330.08698766457</x:v>
      </x:c>
      <x:c r="M14" s="82" t="n">
        <x:f>K14-L14+J14</x:f>
        <x:v>1051990.2609629938</x:v>
      </x:c>
      <x:c r="N14" s="82" t="n">
        <x:f>IF(A14=Supuestos_Proyecto!$B$21,-Supuestos_Proyecto!$B$20,0)</x:f>
        <x:v>0</x:v>
      </x:c>
      <x:c r="O14" s="82" t="n">
        <x:v>0</x:v>
      </x:c>
      <x:c r="P14" s="82" t="n">
        <x:f>IF(A14=Supuestos_Proyecto!$B$19,Supuestos_Proyecto!$B$22+Supuestos_Proyecto!$B$5,0)</x:f>
        <x:v>0</x:v>
      </x:c>
      <x:c r="Q14" s="82" t="n">
        <x:f>SUM(M14:P14)</x:f>
        <x:v>1051990.2609629938</x:v>
      </x:c>
      <x:c r="R14" s="32" t="n">
        <x:f>1/(1+Supuestos_Proyecto!$B$33)^A14</x:f>
        <x:v>0.36844886225467294</x:v>
      </x:c>
      <x:c r="S14" s="82" t="n">
        <x:f>Q14*R14</x:f>
        <x:v>387604.61475481157</x:v>
      </x:c>
    </x:row>
    <x:row r="15">
      <x:c r="A15" s="38" t="n">
        <x:v>11</x:v>
      </x:c>
      <x:c r="B15" s="80" t="n">
        <x:f>Supuestos_Proyecto!$B$8*(1-Supuestos_Proyecto!$B$17)^(A15-1)</x:f>
        <x:v>7846.658576342619</x:v>
      </x:c>
      <x:c r="C15" s="81" t="n">
        <x:f>Supuestos_Proyecto!$B$10*(1+Supuestos_Proyecto!$B$14)^(A15-1)</x:f>
        <x:v>0.12160803169865393</x:v>
      </x:c>
      <x:c r="D15" s="82" t="n">
        <x:f>B15*1000*C15*Supuestos_Proyecto!$B$9</x:f>
        <x:v>906505.8696363686</x:v>
      </x:c>
      <x:c r="E15" s="82" t="n">
        <x:f>Supuestos_Proyecto!$B$11*(1+Supuestos_Proyecto!$B$15)^(A15-1)</x:f>
        <x:v>580270.4125125742</x:v>
      </x:c>
      <x:c r="F15" s="82" t="n">
        <x:f>D15+E15</x:f>
        <x:v>1486776.2821489428</x:v>
      </x:c>
      <x:c r="G15" s="82" t="n">
        <x:f>Supuestos_Proyecto!$B$12*(1+Supuestos_Proyecto!$B$16)^(A15-1)</x:f>
        <x:v>146279.33039937084</x:v>
      </x:c>
      <x:c r="H15" s="82" t="n">
        <x:f>Supuestos_Proyecto!$B$13*(1+Supuestos_Proyecto!$B$16)^(A15-1)</x:f>
        <x:v>48759.776799790285</x:v>
      </x:c>
      <x:c r="I15" s="82" t="n">
        <x:f>F15-G15-H15</x:f>
        <x:v>1291737.1749497817</x:v>
      </x:c>
      <x:c r="J15" s="82" t="n">
        <x:f>Supuestos_Proyecto!$B$4/Supuestos_Proyecto!$B$19</x:f>
        <x:v>400000</x:v>
      </x:c>
      <x:c r="K15" s="82" t="n">
        <x:f>I15-J15</x:f>
        <x:v>891737.1749497817</x:v>
      </x:c>
      <x:c r="L15" s="82" t="n">
        <x:f>MAX(0,K15*Supuestos_Proyecto!$B$18)</x:f>
        <x:v>222934.29373744543</x:v>
      </x:c>
      <x:c r="M15" s="82" t="n">
        <x:f>K15-L15+J15</x:f>
        <x:v>1068802.8812123362</x:v>
      </x:c>
      <x:c r="N15" s="82" t="n">
        <x:f>IF(A15=Supuestos_Proyecto!$B$21,-Supuestos_Proyecto!$B$20,0)</x:f>
        <x:v>0</x:v>
      </x:c>
      <x:c r="O15" s="82" t="n">
        <x:v>0</x:v>
      </x:c>
      <x:c r="P15" s="82" t="n">
        <x:f>IF(A15=Supuestos_Proyecto!$B$19,Supuestos_Proyecto!$B$22+Supuestos_Proyecto!$B$5,0)</x:f>
        <x:v>0</x:v>
      </x:c>
      <x:c r="Q15" s="82" t="n">
        <x:f>SUM(M15:P15)</x:f>
        <x:v>1068802.8812123362</x:v>
      </x:c>
      <x:c r="R15" s="32" t="n">
        <x:f>1/(1+Supuestos_Proyecto!$B$33)^A15</x:f>
        <x:v>0.3334378843933692</x:v>
      </x:c>
      <x:c r="S15" s="82" t="n">
        <x:f>Q15*R15</x:f>
        <x:v>356379.3715449789</x:v>
      </x:c>
    </x:row>
    <x:row r="16">
      <x:c r="A16" s="38" t="n">
        <x:v>12</x:v>
      </x:c>
      <x:c r="B16" s="80" t="n">
        <x:f>Supuestos_Proyecto!$B$8*(1-Supuestos_Proyecto!$B$17)^(A16-1)</x:f>
        <x:v>7807.425283460905</x:v>
      </x:c>
      <x:c r="C16" s="81" t="n">
        <x:f>Supuestos_Proyecto!$B$10*(1+Supuestos_Proyecto!$B$14)^(A16-1)</x:f>
        <x:v>0.12464823249112027</x:v>
      </x:c>
      <x:c r="D16" s="82" t="n">
        <x:f>B16*1000*C16*Supuestos_Proyecto!$B$9</x:f>
        <x:v>924522.6737953911</x:v>
      </x:c>
      <x:c r="E16" s="82" t="n">
        <x:f>Supuestos_Proyecto!$B$11*(1+Supuestos_Proyecto!$B$15)^(A16-1)</x:f>
        <x:v>588974.4687002628</x:v>
      </x:c>
      <x:c r="F16" s="82" t="n">
        <x:f>D16+E16</x:f>
        <x:v>1513497.142495654</x:v>
      </x:c>
      <x:c r="G16" s="82" t="n">
        <x:f>Supuestos_Proyecto!$B$12*(1+Supuestos_Proyecto!$B$16)^(A16-1)</x:f>
        <x:v>149204.91700735825</x:v>
      </x:c>
      <x:c r="H16" s="82" t="n">
        <x:f>Supuestos_Proyecto!$B$13*(1+Supuestos_Proyecto!$B$16)^(A16-1)</x:f>
        <x:v>49734.97233578608</x:v>
      </x:c>
      <x:c r="I16" s="82" t="n">
        <x:f>F16-G16-H16</x:f>
        <x:v>1314557.2531525097</x:v>
      </x:c>
      <x:c r="J16" s="82" t="n">
        <x:f>Supuestos_Proyecto!$B$4/Supuestos_Proyecto!$B$19</x:f>
        <x:v>400000</x:v>
      </x:c>
      <x:c r="K16" s="82" t="n">
        <x:f>I16-J16</x:f>
        <x:v>914557.2531525097</x:v>
      </x:c>
      <x:c r="L16" s="82" t="n">
        <x:f>MAX(0,K16*Supuestos_Proyecto!$B$18)</x:f>
        <x:v>228639.31328812742</x:v>
      </x:c>
      <x:c r="M16" s="82" t="n">
        <x:f>K16-L16+J16</x:f>
        <x:v>1085917.9398643821</x:v>
      </x:c>
      <x:c r="N16" s="82" t="n">
        <x:f>IF(A16=Supuestos_Proyecto!$B$21,-Supuestos_Proyecto!$B$20,0)</x:f>
        <x:v>0</x:v>
      </x:c>
      <x:c r="O16" s="82" t="n">
        <x:v>0</x:v>
      </x:c>
      <x:c r="P16" s="82" t="n">
        <x:f>IF(A16=Supuestos_Proyecto!$B$19,Supuestos_Proyecto!$B$22+Supuestos_Proyecto!$B$5,0)</x:f>
        <x:v>0</x:v>
      </x:c>
      <x:c r="Q16" s="82" t="n">
        <x:f>SUM(M16:P16)</x:f>
        <x:v>1085917.9398643821</x:v>
      </x:c>
      <x:c r="R16" s="32" t="n">
        <x:f>1/(1+Supuestos_Proyecto!$B$33)^A16</x:f>
        <x:v>0.3017537415324608</x:v>
      </x:c>
      <x:c r="S16" s="82" t="n">
        <x:f>Q16*R16</x:f>
        <x:v>327679.8013512991</x:v>
      </x:c>
    </x:row>
    <x:row r="17">
      <x:c r="A17" s="38" t="n">
        <x:v>13</x:v>
      </x:c>
      <x:c r="B17" s="80" t="n">
        <x:f>Supuestos_Proyecto!$B$8*(1-Supuestos_Proyecto!$B$17)^(A17-1)</x:f>
        <x:v>7768.3881570436015</x:v>
      </x:c>
      <x:c r="C17" s="81" t="n">
        <x:f>Supuestos_Proyecto!$B$10*(1+Supuestos_Proyecto!$B$14)^(A17-1)</x:f>
        <x:v>0.12776443830339826</x:v>
      </x:c>
      <x:c r="D17" s="82" t="n">
        <x:f>B17*1000*C17*Supuestos_Proyecto!$B$9</x:f>
        <x:v>942897.5619370745</x:v>
      </x:c>
      <x:c r="E17" s="82" t="n">
        <x:f>Supuestos_Proyecto!$B$11*(1+Supuestos_Proyecto!$B$15)^(A17-1)</x:f>
        <x:v>597809.0857307666</x:v>
      </x:c>
      <x:c r="F17" s="82" t="n">
        <x:f>D17+E17</x:f>
        <x:v>1540706.647667841</x:v>
      </x:c>
      <x:c r="G17" s="82" t="n">
        <x:f>Supuestos_Proyecto!$B$12*(1+Supuestos_Proyecto!$B$16)^(A17-1)</x:f>
        <x:v>152189.01534750542</x:v>
      </x:c>
      <x:c r="H17" s="82" t="n">
        <x:f>Supuestos_Proyecto!$B$13*(1+Supuestos_Proyecto!$B$16)^(A17-1)</x:f>
        <x:v>50729.67178250181</x:v>
      </x:c>
      <x:c r="I17" s="82" t="n">
        <x:f>F17-G17-H17</x:f>
        <x:v>1337787.9605378339</x:v>
      </x:c>
      <x:c r="J17" s="82" t="n">
        <x:f>Supuestos_Proyecto!$B$4/Supuestos_Proyecto!$B$19</x:f>
        <x:v>400000</x:v>
      </x:c>
      <x:c r="K17" s="82" t="n">
        <x:f>I17-J17</x:f>
        <x:v>937787.9605378339</x:v>
      </x:c>
      <x:c r="L17" s="82" t="n">
        <x:f>MAX(0,K17*Supuestos_Proyecto!$B$18)</x:f>
        <x:v>234446.99013445847</x:v>
      </x:c>
      <x:c r="M17" s="82" t="n">
        <x:f>K17-L17+J17</x:f>
        <x:v>1103340.9704033753</x:v>
      </x:c>
      <x:c r="N17" s="82" t="n">
        <x:f>IF(A17=Supuestos_Proyecto!$B$21,-Supuestos_Proyecto!$B$20,0)</x:f>
        <x:v>0</x:v>
      </x:c>
      <x:c r="O17" s="82" t="n">
        <x:v>0</x:v>
      </x:c>
      <x:c r="P17" s="82" t="n">
        <x:f>IF(A17=Supuestos_Proyecto!$B$19,Supuestos_Proyecto!$B$22+Supuestos_Proyecto!$B$5,0)</x:f>
        <x:v>0</x:v>
      </x:c>
      <x:c r="Q17" s="82" t="n">
        <x:f>SUM(M17:P17)</x:f>
        <x:v>1103340.9704033753</x:v>
      </x:c>
      <x:c r="R17" s="32" t="n">
        <x:f>1/(1+Supuestos_Proyecto!$B$33)^A17</x:f>
        <x:v>0.27308030907915004</x:v>
      </x:c>
      <x:c r="S17" s="82" t="n">
        <x:f>Q17*R17</x:f>
        <x:v>301300.69321744307</x:v>
      </x:c>
    </x:row>
    <x:row r="18">
      <x:c r="A18" s="38" t="n">
        <x:v>14</x:v>
      </x:c>
      <x:c r="B18" s="80" t="n">
        <x:f>Supuestos_Proyecto!$B$8*(1-Supuestos_Proyecto!$B$17)^(A18-1)</x:f>
        <x:v>7729.5462162583835</x:v>
      </x:c>
      <x:c r="C18" s="81" t="n">
        <x:f>Supuestos_Proyecto!$B$10*(1+Supuestos_Proyecto!$B$14)^(A18-1)</x:f>
        <x:v>0.13095854926098321</x:v>
      </x:c>
      <x:c r="D18" s="82" t="n">
        <x:f>B18*1000*C18*Supuestos_Proyecto!$B$9</x:f>
        <x:v>961637.6509805738</x:v>
      </x:c>
      <x:c r="E18" s="82" t="n">
        <x:f>Supuestos_Proyecto!$B$11*(1+Supuestos_Proyecto!$B$15)^(A18-1)</x:f>
        <x:v>606776.2220167281</x:v>
      </x:c>
      <x:c r="F18" s="82" t="n">
        <x:f>D18+E18</x:f>
        <x:v>1568413.872997302</x:v>
      </x:c>
      <x:c r="G18" s="82" t="n">
        <x:f>Supuestos_Proyecto!$B$12*(1+Supuestos_Proyecto!$B$16)^(A18-1)</x:f>
        <x:v>155232.79565445552</x:v>
      </x:c>
      <x:c r="H18" s="82" t="n">
        <x:f>Supuestos_Proyecto!$B$13*(1+Supuestos_Proyecto!$B$16)^(A18-1)</x:f>
        <x:v>51744.26521815184</x:v>
      </x:c>
      <x:c r="I18" s="82" t="n">
        <x:f>F18-G18-H18</x:f>
        <x:v>1361436.812124695</x:v>
      </x:c>
      <x:c r="J18" s="82" t="n">
        <x:f>Supuestos_Proyecto!$B$4/Supuestos_Proyecto!$B$19</x:f>
        <x:v>400000</x:v>
      </x:c>
      <x:c r="K18" s="82" t="n">
        <x:f>I18-J18</x:f>
        <x:v>961436.8121246949</x:v>
      </x:c>
      <x:c r="L18" s="82" t="n">
        <x:f>MAX(0,K18*Supuestos_Proyecto!$B$18)</x:f>
        <x:v>240359.20303117373</x:v>
      </x:c>
      <x:c r="M18" s="82" t="n">
        <x:f>K18-L18+J18</x:f>
        <x:v>1121077.6090935213</x:v>
      </x:c>
      <x:c r="N18" s="82" t="n">
        <x:f>IF(A18=Supuestos_Proyecto!$B$21,-Supuestos_Proyecto!$B$20,0)</x:f>
        <x:v>0</x:v>
      </x:c>
      <x:c r="O18" s="82" t="n">
        <x:v>0</x:v>
      </x:c>
      <x:c r="P18" s="82" t="n">
        <x:f>IF(A18=Supuestos_Proyecto!$B$19,Supuestos_Proyecto!$B$22+Supuestos_Proyecto!$B$5,0)</x:f>
        <x:v>0</x:v>
      </x:c>
      <x:c r="Q18" s="82" t="n">
        <x:f>SUM(M18:P18)</x:f>
        <x:v>1121077.6090935213</x:v>
      </x:c>
      <x:c r="R18" s="32" t="n">
        <x:f>1/(1+Supuestos_Proyecto!$B$33)^A18</x:f>
        <x:v>0.24713150142909504</x:v>
      </x:c>
      <x:c r="S18" s="82" t="n">
        <x:f>Q18*R18</x:f>
        <x:v>277053.592753822</x:v>
      </x:c>
    </x:row>
    <x:row r="19">
      <x:c r="A19" s="38" t="n">
        <x:v>15</x:v>
      </x:c>
      <x:c r="B19" s="80" t="n">
        <x:f>Supuestos_Proyecto!$B$8*(1-Supuestos_Proyecto!$B$17)^(A19-1)</x:f>
        <x:v>7690.898485177092</x:v>
      </x:c>
      <x:c r="C19" s="81" t="n">
        <x:f>Supuestos_Proyecto!$B$10*(1+Supuestos_Proyecto!$B$14)^(A19-1)</x:f>
        <x:v>0.13423251299250777</x:v>
      </x:c>
      <x:c r="D19" s="82" t="n">
        <x:f>B19*1000*C19*Supuestos_Proyecto!$B$9</x:f>
        <x:v>980750.1992938127</x:v>
      </x:c>
      <x:c r="E19" s="82" t="n">
        <x:f>Supuestos_Proyecto!$B$11*(1+Supuestos_Proyecto!$B$15)^(A19-1)</x:f>
        <x:v>615877.8653469789</x:v>
      </x:c>
      <x:c r="F19" s="82" t="n">
        <x:f>D19+E19</x:f>
        <x:v>1596628.0646407916</x:v>
      </x:c>
      <x:c r="G19" s="82" t="n">
        <x:f>Supuestos_Proyecto!$B$12*(1+Supuestos_Proyecto!$B$16)^(A19-1)</x:f>
        <x:v>158337.45156754466</x:v>
      </x:c>
      <x:c r="H19" s="82" t="n">
        <x:f>Supuestos_Proyecto!$B$13*(1+Supuestos_Proyecto!$B$16)^(A19-1)</x:f>
        <x:v>52779.15052251489</x:v>
      </x:c>
      <x:c r="I19" s="82" t="n">
        <x:f>F19-G19-H19</x:f>
        <x:v>1385511.462550732</x:v>
      </x:c>
      <x:c r="J19" s="82" t="n">
        <x:f>Supuestos_Proyecto!$B$4/Supuestos_Proyecto!$B$19</x:f>
        <x:v>400000</x:v>
      </x:c>
      <x:c r="K19" s="82" t="n">
        <x:f>I19-J19</x:f>
        <x:v>985511.4625507321</x:v>
      </x:c>
      <x:c r="L19" s="82" t="n">
        <x:f>MAX(0,K19*Supuestos_Proyecto!$B$18)</x:f>
        <x:v>246377.86563768302</x:v>
      </x:c>
      <x:c r="M19" s="82" t="n">
        <x:f>K19-L19+J19</x:f>
        <x:v>1139133.596913049</x:v>
      </x:c>
      <x:c r="N19" s="82" t="n">
        <x:f>IF(A19=Supuestos_Proyecto!$B$21,-Supuestos_Proyecto!$B$20,0)</x:f>
        <x:v>0</x:v>
      </x:c>
      <x:c r="O19" s="82" t="n">
        <x:v>0</x:v>
      </x:c>
      <x:c r="P19" s="82" t="n">
        <x:f>IF(A19=Supuestos_Proyecto!$B$19,Supuestos_Proyecto!$B$22+Supuestos_Proyecto!$B$5,0)</x:f>
        <x:v>380000</x:v>
      </x:c>
      <x:c r="Q19" s="82" t="n">
        <x:f>SUM(M19:P19)</x:f>
        <x:v>1519133.596913049</x:v>
      </x:c>
      <x:c r="R19" s="32" t="n">
        <x:f>1/(1+Supuestos_Proyecto!$B$33)^A19</x:f>
        <x:v>0.22364841758289142</x:v>
      </x:c>
      <x:c r="S19" s="82" t="n">
        <x:f>Q19*R19</x:f>
        <x:v>339751.82504660945</x:v>
      </x:c>
    </x:row>
    <x:row r="21">
      <x:c r="A21" s="48" t="str">
        <x:v>INDICADORES DE DECISIÓN</x:v>
      </x:c>
    </x:row>
    <x:row r="22">
      <x:c r="A22" t="str">
        <x:v>VAN</x:v>
      </x:c>
      <x:c r="B22" s="64" t="n">
        <x:f>SUM(S4:S19)</x:f>
        <x:v>1022526.6387250014</x:v>
      </x:c>
    </x:row>
    <x:row r="23">
      <x:c r="A23" t="str">
        <x:v>TIR</x:v>
      </x:c>
      <x:c r="B23" s="86" t="n">
        <x:v>0.132913</x:v>
      </x:c>
      <x:c r="C23" s="218" t="str">
        <x:v>Calculado en src/analysis/calculos.py</x:v>
      </x:c>
    </x:row>
    <x:row r="24">
      <x:c r="A24" t="str">
        <x:v>Beneficio / costo</x:v>
      </x:c>
      <x:c r="B24" s="98" t="n">
        <x:v>1.1682</x:v>
      </x:c>
      <x:c r="C24" s="218" t="str">
        <x:v>Calculado en src/analysis/calculos.py</x:v>
      </x:c>
    </x:row>
    <x:row r="25">
      <x:c r="A25" t="str">
        <x:v>Payback simple</x:v>
      </x:c>
      <x:c r="B25" s="68" t="n">
        <x:v>6.38</x:v>
      </x:c>
      <x:c r="C25" s="218" t="str">
        <x:v>Calculado en src/analysis/calculos.py</x:v>
      </x:c>
    </x:row>
    <x:row r="26">
      <x:c r="A26" t="str">
        <x:v>Payback descontado</x:v>
      </x:c>
      <x:c r="B26" s="68" t="n">
        <x:v>11.68</x:v>
      </x:c>
      <x:c r="C26" s="218" t="str">
        <x:v>Calculado en src/analysis/calculos.py</x:v>
      </x:c>
    </x:row>
    <x:row r="27">
      <x:c r="A27" t="str">
        <x:v>Decisión</x:v>
      </x:c>
      <x:c r="B27" s="72" t="str">
        <x:f>IF(AND(B22&gt;0,B23&gt;Supuestos_Proyecto!$B$33,B24&gt;1),"ACEPTAR CONDICIONADAMENTE","REVISAR O RECHAZAR")</x:f>
        <x:v>ACEPTAR CONDICIONADAMENTE</x:v>
      </x:c>
    </x:row>
  </x:sheetData>
  <x:mergeCells>
    <x:mergeCell ref="A1:S1"/>
    <x:mergeCell ref="A21:S2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27" hidden="0" customWidth="1"/>
    <x:col min="6" max="6" width="14" hidden="0" customWidth="1"/>
    <x:col min="7" max="7" width="14" hidden="0" customWidth="1"/>
  </x:cols>
  <x:sheetData>
    <x:row r="1" ht="28" customHeight="1">
      <x:c r="A1" s="5" t="str">
        <x:v>COMPARACIÓN DE ALTERNATIVAS DE FINANCIAMIENTO</x:v>
      </x:c>
    </x:row>
    <x:row r="3">
      <x:c r="A3" s="14" t="str">
        <x:v>Variable</x:v>
      </x:c>
      <x:c r="B3" s="14" t="str">
        <x:v>Alternativa A</x:v>
      </x:c>
      <x:c r="C3" s="14" t="str">
        <x:v>Alternativa B</x:v>
      </x:c>
      <x:c r="D3" s="14" t="str">
        <x:v>Unidad</x:v>
      </x:c>
      <x:c r="E3" s="14" t="str">
        <x:v>Criterio</x:v>
      </x:c>
      <x:c r="F3" s="14" t="str">
        <x:v>Ventaja A</x:v>
      </x:c>
      <x:c r="G3" s="14" t="str">
        <x:v>Ventaja B</x:v>
      </x:c>
    </x:row>
    <x:row r="4">
      <x:c r="A4" t="str">
        <x:v>Inversión financiable</x:v>
      </x:c>
      <x:c r="B4" s="24" t="n">
        <x:v>6080000</x:v>
      </x:c>
      <x:c r="C4" s="24" t="n">
        <x:v>6080000</x:v>
      </x:c>
      <x:c r="D4" t="str">
        <x:v>USD</x:v>
      </x:c>
      <x:c r="E4" t="str">
        <x:v>Proyecto total</x:v>
      </x:c>
      <x:c r="F4" t="str"/>
      <x:c r="G4" t="str"/>
    </x:row>
    <x:row r="5">
      <x:c r="A5" t="str">
        <x:v>Porcentaje de deuda</x:v>
      </x:c>
      <x:c r="B5" s="86" t="n">
        <x:v>0.7</x:v>
      </x:c>
      <x:c r="C5" s="86" t="n">
        <x:v>0.6</x:v>
      </x:c>
      <x:c r="D5" t="str">
        <x:v>%</x:v>
      </x:c>
      <x:c r="E5" t="str">
        <x:v>Menor aporte inicial</x:v>
      </x:c>
      <x:c r="F5" t="str">
        <x:v>Sí</x:v>
      </x:c>
      <x:c r="G5" t="str"/>
    </x:row>
    <x:row r="6">
      <x:c r="A6" t="str">
        <x:v>Monto de deuda</x:v>
      </x:c>
      <x:c r="B6" s="24" t="n">
        <x:f>B4*B5</x:f>
        <x:v>4256000</x:v>
      </x:c>
      <x:c r="C6" s="24" t="n">
        <x:f>C4*C5</x:f>
        <x:v>3648000</x:v>
      </x:c>
      <x:c r="D6" t="str">
        <x:v>USD</x:v>
      </x:c>
      <x:c r="E6" t="str">
        <x:v>Capacidad de financiamiento</x:v>
      </x:c>
      <x:c r="F6" t="str"/>
      <x:c r="G6" t="str"/>
    </x:row>
    <x:row r="7">
      <x:c r="A7" t="str">
        <x:v>Tasa anual</x:v>
      </x:c>
      <x:c r="B7" s="86" t="n">
        <x:v>0.0789</x:v>
      </x:c>
      <x:c r="C7" s="86" t="n">
        <x:v>0.1045</x:v>
      </x:c>
      <x:c r="D7" t="str">
        <x:v>%</x:v>
      </x:c>
      <x:c r="E7" t="str">
        <x:v>Menor costo</x:v>
      </x:c>
      <x:c r="F7" t="str">
        <x:v>Sí</x:v>
      </x:c>
      <x:c r="G7" t="str"/>
    </x:row>
    <x:row r="8">
      <x:c r="A8" t="str">
        <x:v>Plazo</x:v>
      </x:c>
      <x:c r="B8" s="88" t="n">
        <x:v>10</x:v>
      </x:c>
      <x:c r="C8" s="88" t="n">
        <x:v>7</x:v>
      </x:c>
      <x:c r="D8" t="str">
        <x:v>años</x:v>
      </x:c>
      <x:c r="E8" t="str">
        <x:v>Coherencia con vida útil</x:v>
      </x:c>
      <x:c r="F8" t="str">
        <x:v>Sí</x:v>
      </x:c>
      <x:c r="G8" t="str"/>
    </x:row>
    <x:row r="9">
      <x:c r="A9" t="str">
        <x:v>Cuota anual</x:v>
      </x:c>
      <x:c r="B9" s="64" t="n">
        <x:f>-PMT(B7,B8,B6)</x:f>
        <x:v>631126.1339045523</x:v>
      </x:c>
      <x:c r="C9" s="64" t="n">
        <x:f>-PMT(C7,C8,C6)</x:f>
        <x:v>760455.8457894167</x:v>
      </x:c>
      <x:c r="D9" t="str">
        <x:v>USD/año</x:v>
      </x:c>
      <x:c r="E9" t="str">
        <x:v>Menor servicio anual</x:v>
      </x:c>
      <x:c r="F9" t="str"/>
      <x:c r="G9" t="str"/>
    </x:row>
    <x:row r="10">
      <x:c r="A10" t="str">
        <x:v>Intereses totales</x:v>
      </x:c>
      <x:c r="B10" s="64" t="n">
        <x:f>B9*B8-B6</x:f>
        <x:v>2055261.3390455227</x:v>
      </x:c>
      <x:c r="C10" s="64" t="n">
        <x:f>C9*C8-C6</x:f>
        <x:v>1675190.9205259169</x:v>
      </x:c>
      <x:c r="D10" t="str">
        <x:v>USD</x:v>
      </x:c>
      <x:c r="E10" t="str">
        <x:v>Menor costo total</x:v>
      </x:c>
      <x:c r="F10" t="str"/>
      <x:c r="G10" t="str"/>
    </x:row>
    <x:row r="11">
      <x:c r="A11" t="str">
        <x:v>Aporte propio</x:v>
      </x:c>
      <x:c r="B11" s="64" t="n">
        <x:f>B4-B6</x:f>
        <x:v>1824000</x:v>
      </x:c>
      <x:c r="C11" s="64" t="n">
        <x:f>C4-C6</x:f>
        <x:v>2432000</x:v>
      </x:c>
      <x:c r="D11" t="str">
        <x:v>USD</x:v>
      </x:c>
      <x:c r="E11" t="str">
        <x:v>Menor uso de liquidez</x:v>
      </x:c>
      <x:c r="F11" t="str">
        <x:v>Sí</x:v>
      </x:c>
      <x:c r="G11" t="str"/>
    </x:row>
    <x:row r="13">
      <x:c r="A13" s="48" t="str">
        <x:v>RECOMENDACIÓN</x:v>
      </x:c>
    </x:row>
    <x:row r="14">
      <x:c r="A14" s="93" t="str">
        <x:v>Seleccionar la Alternativa A: 70% de deuda a 10 años y 30% de patrimonio. El plazo es coherente con la vida útil de 15 años, reduce el aporte inicial y utiliza la tasa productiva corporativa como referencia. La tasa final debe confirmarse con una institución financiera.</x:v>
      </x:c>
      <x:c r="B14" s="93"/>
      <x:c r="C14" s="93"/>
      <x:c r="D14" s="93"/>
      <x:c r="E14" s="93"/>
      <x:c r="F14" s="93"/>
      <x:c r="G14" s="93"/>
    </x:row>
    <x:row r="15">
      <x:c r="A15" s="93"/>
      <x:c r="B15" s="93"/>
      <x:c r="C15" s="93"/>
      <x:c r="D15" s="93"/>
      <x:c r="E15" s="93"/>
      <x:c r="F15" s="93"/>
      <x:c r="G15" s="93"/>
    </x:row>
  </x:sheetData>
  <x:mergeCells>
    <x:mergeCell ref="A1:G1"/>
    <x:mergeCell ref="A13:G13"/>
    <x:mergeCell ref="A14:G15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20" hidden="0" customWidth="1"/>
    <x:col min="3" max="3" width="13" hidden="0" customWidth="1"/>
    <x:col min="4" max="4" width="12" hidden="0" customWidth="1"/>
    <x:col min="5" max="5" width="19" hidden="0" customWidth="1"/>
    <x:col min="6" max="6" width="23" hidden="0" customWidth="1"/>
    <x:col min="7" max="7" width="28" hidden="0" customWidth="1"/>
  </x:cols>
  <x:sheetData>
    <x:row r="1" ht="28" customHeight="1">
      <x:c r="A1" s="5" t="str">
        <x:v>ANÁLISIS DE ESCENARIOS</x:v>
      </x:c>
    </x:row>
    <x:row r="3">
      <x:c r="A3" s="14" t="str">
        <x:v>Escenario</x:v>
      </x:c>
      <x:c r="B3" s="14" t="str">
        <x:v>VAN (USD)</x:v>
      </x:c>
      <x:c r="C3" s="14" t="str">
        <x:v>TIR</x:v>
      </x:c>
      <x:c r="D3" s="14" t="str">
        <x:v>B/C</x:v>
      </x:c>
      <x:c r="E3" s="14" t="str">
        <x:v>Payback simple</x:v>
      </x:c>
      <x:c r="F3" s="14" t="str">
        <x:v>Payback descontado</x:v>
      </x:c>
      <x:c r="G3" s="14" t="str">
        <x:v>Decisión</x:v>
      </x:c>
    </x:row>
    <x:row r="4">
      <x:c r="A4" t="str">
        <x:v>Optimista</x:v>
      </x:c>
      <x:c r="B4" s="24" t="n">
        <x:v>3491393.17</x:v>
      </x:c>
      <x:c r="C4" s="86" t="n">
        <x:v>0.18545</x:v>
      </x:c>
      <x:c r="D4" s="98" t="n">
        <x:v>1.604</x:v>
      </x:c>
      <x:c r="E4" s="68" t="n">
        <x:v>5.04</x:v>
      </x:c>
      <x:c r="F4" s="68" t="n">
        <x:v>7.07</x:v>
      </x:c>
      <x:c r="G4" s="20" t="str">
        <x:v>Aceptar</x:v>
      </x:c>
    </x:row>
    <x:row r="5">
      <x:c r="A5" t="str">
        <x:v>Base</x:v>
      </x:c>
      <x:c r="B5" s="24" t="n">
        <x:v>1022526.64</x:v>
      </x:c>
      <x:c r="C5" s="86" t="n">
        <x:v>0.132913</x:v>
      </x:c>
      <x:c r="D5" s="98" t="n">
        <x:v>1.1682</x:v>
      </x:c>
      <x:c r="E5" s="68" t="n">
        <x:v>6.38</x:v>
      </x:c>
      <x:c r="F5" s="68" t="n">
        <x:v>11.68</x:v>
      </x:c>
      <x:c r="G5" s="20" t="str">
        <x:v>Aceptar condicionadamente</x:v>
      </x:c>
    </x:row>
    <x:row r="6">
      <x:c r="A6" t="str">
        <x:v>Pesimista</x:v>
      </x:c>
      <x:c r="B6" s="24" t="n">
        <x:v>-1982419.86</x:v>
      </x:c>
      <x:c r="C6" s="86" t="n">
        <x:v>0.06228</x:v>
      </x:c>
      <x:c r="D6" s="98" t="n">
        <x:v>0.711</x:v>
      </x:c>
      <x:c r="E6" s="68" t="n">
        <x:v>10.45</x:v>
      </x:c>
      <x:c r="F6" s="68"/>
      <x:c r="G6" s="20" t="str">
        <x:v>Rechazar / reformular</x:v>
      </x:c>
    </x:row>
  </x:sheetData>
  <x:mergeCells>
    <x:mergeCell ref="A1:G1"/>
  </x:mergeCells>
  <x:conditionalFormatting sqref="B4:B6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3" hidden="0" customWidth="1"/>
  </x:cols>
  <x:sheetData>
    <x:row r="1" ht="28" customHeight="1">
      <x:c r="A1" s="5" t="str">
        <x:v>SENSIBILIDAD DEL VAN A TARIFA Y CAPEX</x:v>
      </x:c>
    </x:row>
    <x:row r="3">
      <x:c r="A3" s="14" t="str">
        <x:v>Tarifa / CAPEX</x:v>
      </x:c>
      <x:c r="B3" s="14" t="str">
        <x:v>-15%</x:v>
      </x:c>
      <x:c r="C3" s="14" t="str">
        <x:v>-10%</x:v>
      </x:c>
      <x:c r="D3" s="14" t="str">
        <x:v>Base</x:v>
      </x:c>
      <x:c r="E3" s="14" t="str">
        <x:v>+10%</x:v>
      </x:c>
      <x:c r="F3" s="14" t="str">
        <x:v>+15%</x:v>
      </x:c>
      <x:c r="G3" s="14" t="str">
        <x:v>Unidad</x:v>
      </x:c>
    </x:row>
    <x:row r="4">
      <x:c r="A4" t="str">
        <x:v>-15%</x:v>
      </x:c>
      <x:c r="B4" s="24" t="n">
        <x:v>691000</x:v>
      </x:c>
      <x:c r="C4" s="24" t="n">
        <x:v>390000</x:v>
      </x:c>
      <x:c r="D4" s="24" t="n">
        <x:v>-210000</x:v>
      </x:c>
      <x:c r="E4" s="24" t="n">
        <x:v>-810000</x:v>
      </x:c>
      <x:c r="F4" s="24" t="n">
        <x:v>-1111000</x:v>
      </x:c>
      <x:c r="G4" t="str">
        <x:v>VAN USD</x:v>
      </x:c>
    </x:row>
    <x:row r="5">
      <x:c r="A5" t="str">
        <x:v>-10%</x:v>
      </x:c>
      <x:c r="B5" s="24" t="n">
        <x:v>1134000</x:v>
      </x:c>
      <x:c r="C5" s="24" t="n">
        <x:v>833000</x:v>
      </x:c>
      <x:c r="D5" s="24" t="n">
        <x:v>233000</x:v>
      </x:c>
      <x:c r="E5" s="24" t="n">
        <x:v>-367000</x:v>
      </x:c>
      <x:c r="F5" s="24" t="n">
        <x:v>-667000</x:v>
      </x:c>
      <x:c r="G5" t="str">
        <x:v>VAN USD</x:v>
      </x:c>
    </x:row>
    <x:row r="6">
      <x:c r="A6" t="str">
        <x:v>Base</x:v>
      </x:c>
      <x:c r="B6" s="24" t="n">
        <x:v>1923000</x:v>
      </x:c>
      <x:c r="C6" s="24" t="n">
        <x:v>1623000</x:v>
      </x:c>
      <x:c r="D6" s="24" t="n">
        <x:v>1023000</x:v>
      </x:c>
      <x:c r="E6" s="24" t="n">
        <x:v>423000</x:v>
      </x:c>
      <x:c r="F6" s="24" t="n">
        <x:v>123000</x:v>
      </x:c>
      <x:c r="G6" t="str">
        <x:v>VAN USD</x:v>
      </x:c>
    </x:row>
    <x:row r="7">
      <x:c r="A7" t="str">
        <x:v>+10%</x:v>
      </x:c>
      <x:c r="B7" s="24" t="n">
        <x:v>2713000</x:v>
      </x:c>
      <x:c r="C7" s="24" t="n">
        <x:v>2413000</x:v>
      </x:c>
      <x:c r="D7" s="24" t="n">
        <x:v>1813000</x:v>
      </x:c>
      <x:c r="E7" s="24" t="n">
        <x:v>1213000</x:v>
      </x:c>
      <x:c r="F7" s="24" t="n">
        <x:v>913000</x:v>
      </x:c>
      <x:c r="G7" t="str">
        <x:v>VAN USD</x:v>
      </x:c>
    </x:row>
    <x:row r="8">
      <x:c r="A8" t="str">
        <x:v>+15%</x:v>
      </x:c>
      <x:c r="B8" s="24" t="n">
        <x:v>3157000</x:v>
      </x:c>
      <x:c r="C8" s="24" t="n">
        <x:v>2857000</x:v>
      </x:c>
      <x:c r="D8" s="24" t="n">
        <x:v>2257000</x:v>
      </x:c>
      <x:c r="E8" s="24" t="n">
        <x:v>1657000</x:v>
      </x:c>
      <x:c r="F8" s="24" t="n">
        <x:v>1357000</x:v>
      </x:c>
      <x:c r="G8" t="str">
        <x:v>VAN USD</x:v>
      </x:c>
    </x:row>
    <x:row r="10">
      <x:c r="A10" s="102" t="str">
        <x:v>Lectura: el proyecto es más sensible al valor económico de la energía y de la continuidad operativa que a variaciones moderadas del CAPEX. La validación más importante es medir el costo real de las interrupciones y la energía efectivamente autoconsumida.</x:v>
      </x:c>
      <x:c r="B10" s="102"/>
      <x:c r="C10" s="102"/>
      <x:c r="D10" s="102"/>
      <x:c r="E10" s="102"/>
      <x:c r="F10" s="102"/>
      <x:c r="G10" s="102"/>
    </x:row>
    <x:row r="11">
      <x:c r="A11" s="102"/>
      <x:c r="B11" s="102"/>
      <x:c r="C11" s="102"/>
      <x:c r="D11" s="102"/>
      <x:c r="E11" s="102"/>
      <x:c r="F11" s="102"/>
      <x:c r="G11" s="102"/>
    </x:row>
    <x:row r="12">
      <x:c r="A12" s="102"/>
      <x:c r="B12" s="102"/>
      <x:c r="C12" s="102"/>
      <x:c r="D12" s="102"/>
      <x:c r="E12" s="102"/>
      <x:c r="F12" s="102"/>
      <x:c r="G12" s="102"/>
    </x:row>
  </x:sheetData>
  <x:mergeCells>
    <x:mergeCell ref="A1:G1"/>
    <x:mergeCell ref="A10:G12"/>
  </x:mergeCells>
  <x:conditionalFormatting sqref="B4:F8">
    <x:cfRule type="colorScale" priority="1">
      <x:colorScale>
        <x:cfvo type="min"/>
        <x:cfvo type="percentile" val="50"/>
        <x:cfvo type="max"/>
        <x:color rgb="FFF4CCCC"/>
        <x:color rgb="FFFFF2CC"/>
        <x:color rgb="FFD9EAD3"/>
      </x:colorScale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9" hidden="0" customWidth="1"/>
    <x:col min="2" max="2" width="20" hidden="0" customWidth="1"/>
    <x:col min="3" max="3" width="3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5" t="str">
        <x:v>VALORACIÓN ACADÉMICA DE HOLCIM ECUADOR</x:v>
      </x:c>
    </x:row>
    <x:row r="3">
      <x:c r="A3" s="48" t="str">
        <x:v>FLUJO DE CAJA DESCONTADO</x:v>
      </x:c>
    </x:row>
    <x:row r="4">
      <x:c r="A4" t="str">
        <x:v>EBIT 2025 (USD miles)</x:v>
      </x:c>
      <x:c r="B4" s="24" t="n">
        <x:v>77311</x:v>
      </x:c>
      <x:c r="D4" s="14" t="str">
        <x:v>Año 1</x:v>
      </x:c>
      <x:c r="E4" s="14" t="str">
        <x:v>Año 2</x:v>
      </x:c>
      <x:c r="F4" s="14" t="str">
        <x:v>Año 3</x:v>
      </x:c>
      <x:c r="G4" s="14" t="str">
        <x:v>Año 4</x:v>
      </x:c>
      <x:c r="H4" s="14" t="str">
        <x:v>Año 5</x:v>
      </x:c>
    </x:row>
    <x:row r="5">
      <x:c r="A5" t="str">
        <x:v>Tasa de impuesto</x:v>
      </x:c>
      <x:c r="B5" s="86" t="n">
        <x:v>0.25</x:v>
      </x:c>
      <x:c r="D5" s="64" t="n">
        <x:f>$B$9*(1+$B$10)</x:f>
        <x:v>71901.4675</x:v>
      </x:c>
      <x:c r="E5" s="64" t="n">
        <x:f>D5*(1+$B$10)</x:f>
        <x:v>74058.511525</x:v>
      </x:c>
      <x:c r="F5" s="64" t="n">
        <x:f>E5*(1+$B$10)</x:f>
        <x:v>76280.26687075</x:v>
      </x:c>
      <x:c r="G5" s="64" t="n">
        <x:f>F5*(1+$B$10)</x:f>
        <x:v>78568.6748768725</x:v>
      </x:c>
      <x:c r="H5" s="64" t="n">
        <x:f>G5*(1+$B$10)</x:f>
        <x:v>80925.73512317867</x:v>
      </x:c>
    </x:row>
    <x:row r="6">
      <x:c r="A6" t="str">
        <x:v>Depreciación y amortización</x:v>
      </x:c>
      <x:c r="B6" s="24" t="n">
        <x:v>31442</x:v>
      </x:c>
      <x:c r="D6" s="64" t="n">
        <x:f>1/(1+$B$11)^1</x:f>
        <x:v>0.9049773755656109</x:v>
      </x:c>
      <x:c r="E6" s="64" t="n">
        <x:f>1/(1+$B$11)^2</x:f>
        <x:v>0.8189840502856207</x:v>
      </x:c>
      <x:c r="F6" s="64" t="n">
        <x:f>1/(1+$B$11)^3</x:f>
        <x:v>0.7411620364575753</x:v>
      </x:c>
      <x:c r="G6" s="64" t="n">
        <x:f>1/(1+$B$11)^4</x:f>
        <x:v>0.67073487462224</x:v>
      </x:c>
      <x:c r="H6" s="64" t="n">
        <x:f>1/(1+$B$11)^5</x:f>
        <x:v>0.6069998865359638</x:v>
      </x:c>
    </x:row>
    <x:row r="7">
      <x:c r="A7" t="str">
        <x:v>CAPEX</x:v>
      </x:c>
      <x:c r="B7" s="24" t="n">
        <x:v>14307</x:v>
      </x:c>
      <x:c r="D7" s="64" t="n">
        <x:f>D5*D6</x:f>
        <x:v>65069.20135746606</x:v>
      </x:c>
      <x:c r="E7" s="64" t="n">
        <x:f>E5*E6</x:f>
        <x:v>60652.739726868815</x:v>
      </x:c>
      <x:c r="F7" s="64" t="n">
        <x:f>F5*F6</x:f>
        <x:v>56536.03793545238</x:v>
      </x:c>
      <x:c r="G7" s="64" t="n">
        <x:f>G5*G6</x:f>
        <x:v>52698.75029277461</x:v>
      </x:c>
      <x:c r="H7" s="64" t="n">
        <x:f>H5*H6</x:f>
        <x:v>49121.91203760892</x:v>
      </x:c>
    </x:row>
    <x:row r="8">
      <x:c r="A8" t="str">
        <x:v>Variación normalizada de capital de trabajo</x:v>
      </x:c>
      <x:c r="B8" s="24" t="n">
        <x:v>5311</x:v>
      </x:c>
    </x:row>
    <x:row r="9">
      <x:c r="A9" t="str">
        <x:v>FCFF base</x:v>
      </x:c>
      <x:c r="B9" s="64" t="n">
        <x:f>B4*(1-B5)+B6-B7-B8</x:f>
        <x:v>69807.25</x:v>
      </x:c>
    </x:row>
    <x:row r="10">
      <x:c r="A10" t="str">
        <x:v>Crecimiento explícito</x:v>
      </x:c>
      <x:c r="B10" s="86" t="n">
        <x:v>0.03</x:v>
      </x:c>
    </x:row>
    <x:row r="11">
      <x:c r="A11" t="str">
        <x:v>WACC</x:v>
      </x:c>
      <x:c r="B11" s="86" t="n">
        <x:v>0.105</x:v>
      </x:c>
    </x:row>
    <x:row r="12">
      <x:c r="A12" t="str">
        <x:v>Crecimiento terminal</x:v>
      </x:c>
      <x:c r="B12" s="86" t="n">
        <x:v>0.025</x:v>
      </x:c>
    </x:row>
    <x:row r="14">
      <x:c r="A14" t="str">
        <x:v>Valor terminal</x:v>
      </x:c>
      <x:c r="B14" s="64" t="n">
        <x:f>H5*(1+$B$12)/($B$11-$B$12)</x:f>
        <x:v>1036860.9812657268</x:v>
      </x:c>
    </x:row>
    <x:row r="15">
      <x:c r="A15" t="str">
        <x:v>VP valor terminal</x:v>
      </x:c>
      <x:c r="B15" s="64" t="n">
        <x:f>B14/(1+$B$11)^5</x:f>
        <x:v>629374.4979818643</x:v>
      </x:c>
    </x:row>
    <x:row r="16">
      <x:c r="A16" t="str">
        <x:v>VP periodo explícito</x:v>
      </x:c>
      <x:c r="B16" s="64" t="n">
        <x:f>SUM(D7:H7)</x:f>
        <x:v>284078.6413501708</x:v>
      </x:c>
    </x:row>
    <x:row r="17">
      <x:c r="A17" t="str">
        <x:v>Valor empresa DCF</x:v>
      </x:c>
      <x:c r="B17" s="64" t="n">
        <x:f>B15+B16</x:f>
        <x:v>913453.1393320351</x:v>
      </x:c>
    </x:row>
    <x:row r="18">
      <x:c r="A18" t="str">
        <x:v>Patrimonio contable 2025</x:v>
      </x:c>
      <x:c r="B18" s="22" t="n">
        <x:v>315783</x:v>
      </x:c>
    </x:row>
    <x:row r="19">
      <x:c r="A19" t="str">
        <x:v>Múltiplo DCF / patrimonio contable</x:v>
      </x:c>
      <x:c r="B19" s="106" t="n">
        <x:f>B17/B18</x:f>
        <x:v>2.8926609074333802</x:v>
      </x:c>
    </x:row>
    <x:row r="21">
      <x:c r="A21" s="110" t="str">
        <x:v>Interpretación: la valoración DCF es un ejercicio académico basado en un FCFF normalizado y supuestos de crecimiento. No representa un precio de mercado ni una oferta de compra. El patrimonio contable se utiliza como método de contraste.</x:v>
      </x:c>
      <x:c r="B21" s="110"/>
      <x:c r="C21" s="110"/>
      <x:c r="D21" s="110"/>
      <x:c r="E21" s="110"/>
      <x:c r="F21" s="110"/>
      <x:c r="G21" s="110"/>
      <x:c r="H21" s="110"/>
    </x:row>
    <x:row r="22">
      <x:c r="A22" s="110"/>
      <x:c r="B22" s="110"/>
      <x:c r="C22" s="110"/>
      <x:c r="D22" s="110"/>
      <x:c r="E22" s="110"/>
      <x:c r="F22" s="110"/>
      <x:c r="G22" s="110"/>
      <x:c r="H22" s="110"/>
    </x:row>
    <x:row r="23">
      <x:c r="A23" s="110"/>
      <x:c r="B23" s="110"/>
      <x:c r="C23" s="110"/>
      <x:c r="D23" s="110"/>
      <x:c r="E23" s="110"/>
      <x:c r="F23" s="110"/>
      <x:c r="G23" s="110"/>
      <x:c r="H23" s="110"/>
    </x:row>
  </x:sheetData>
  <x:mergeCells>
    <x:mergeCell ref="A1:H1"/>
    <x:mergeCell ref="A3:D3"/>
    <x:mergeCell ref="A21:H2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6" hidden="0" customWidth="1"/>
    <x:col min="3" max="3" width="14" hidden="0" customWidth="1"/>
    <x:col min="4" max="4" width="12" hidden="0" customWidth="1"/>
    <x:col min="5" max="5" width="10" hidden="0" customWidth="1"/>
    <x:col min="6" max="6" width="27" hidden="0" customWidth="1"/>
    <x:col min="7" max="7" width="55" hidden="0" customWidth="1"/>
    <x:col min="8" max="8" width="22" hidden="0" customWidth="1"/>
  </x:cols>
  <x:sheetData>
    <x:row r="1" ht="28" customHeight="1">
      <x:c r="A1" s="5" t="str">
        <x:v>MATRIZ DE RIESGOS</x:v>
      </x:c>
    </x:row>
    <x:row r="3">
      <x:c r="A3" s="14" t="str">
        <x:v>Riesgo</x:v>
      </x:c>
      <x:c r="B3" s="14" t="str">
        <x:v>Tipo</x:v>
      </x:c>
      <x:c r="C3" s="14" t="str">
        <x:v>Probabilidad</x:v>
      </x:c>
      <x:c r="D3" s="14" t="str">
        <x:v>Impacto</x:v>
      </x:c>
      <x:c r="E3" s="14" t="str">
        <x:v>Nivel</x:v>
      </x:c>
      <x:c r="F3" s="14" t="str">
        <x:v>Indicador</x:v>
      </x:c>
      <x:c r="G3" s="14" t="str">
        <x:v>Mitigación</x:v>
      </x:c>
      <x:c r="H3" s="14" t="str">
        <x:v>Responsable</x:v>
      </x:c>
    </x:row>
    <x:row r="4">
      <x:c r="A4" s="20" t="str">
        <x:v>CAPEX superior a la estimación</x:v>
      </x:c>
      <x:c r="B4" s="20" t="str">
        <x:v>Financiero</x:v>
      </x:c>
      <x:c r="C4" s="114" t="n">
        <x:v>3</x:v>
      </x:c>
      <x:c r="D4" s="114" t="n">
        <x:v>4</x:v>
      </x:c>
      <x:c r="E4" s="115" t="n">
        <x:f>C4*D4</x:f>
        <x:v>12</x:v>
      </x:c>
      <x:c r="F4" s="20" t="str">
        <x:v>Cotización EPC</x:v>
      </x:c>
      <x:c r="G4" s="20" t="str">
        <x:v>Solicitar tres cotizaciones y contrato con precio máximo</x:v>
      </x:c>
      <x:c r="H4" s="20" t="str">
        <x:v>Finanzas / Ingeniería</x:v>
      </x:c>
    </x:row>
    <x:row r="5">
      <x:c r="A5" s="20" t="str">
        <x:v>Menor generación solar</x:v>
      </x:c>
      <x:c r="B5" s="20" t="str">
        <x:v>Técnico</x:v>
      </x:c>
      <x:c r="C5" s="114" t="n">
        <x:v>3</x:v>
      </x:c>
      <x:c r="D5" s="114" t="n">
        <x:v>4</x:v>
      </x:c>
      <x:c r="E5" s="115" t="n">
        <x:f>C5*D5</x:f>
        <x:v>12</x:v>
      </x:c>
      <x:c r="F5" s="20" t="str">
        <x:v>MWh reales vs. P50</x:v>
      </x:c>
      <x:c r="G5" s="20" t="str">
        <x:v>Estudio de recurso, garantías y monitoreo</x:v>
      </x:c>
      <x:c r="H5" s="20" t="str">
        <x:v>Operaciones</x:v>
      </x:c>
    </x:row>
    <x:row r="6">
      <x:c r="A6" s="20" t="str">
        <x:v>Autoconsumo inferior al 95%</x:v>
      </x:c>
      <x:c r="B6" s="20" t="str">
        <x:v>Operativo</x:v>
      </x:c>
      <x:c r="C6" s="114" t="n">
        <x:v>2</x:v>
      </x:c>
      <x:c r="D6" s="114" t="n">
        <x:v>4</x:v>
      </x:c>
      <x:c r="E6" s="115" t="n">
        <x:f>C6*D6</x:f>
        <x:v>8</x:v>
      </x:c>
      <x:c r="F6" s="20" t="str">
        <x:v>% energía autoconsumida</x:v>
      </x:c>
      <x:c r="G6" s="20" t="str">
        <x:v>Ajustar tamaño y estrategia de batería</x:v>
      </x:c>
      <x:c r="H6" s="20" t="str">
        <x:v>Energía</x:v>
      </x:c>
    </x:row>
    <x:row r="7">
      <x:c r="A7" s="20" t="str">
        <x:v>Ahorro por apagones sobreestimado</x:v>
      </x:c>
      <x:c r="B7" s="20" t="str">
        <x:v>Económico</x:v>
      </x:c>
      <x:c r="C7" s="114" t="n">
        <x:v>4</x:v>
      </x:c>
      <x:c r="D7" s="114" t="n">
        <x:v>5</x:v>
      </x:c>
      <x:c r="E7" s="115" t="n">
        <x:f>C7*D7</x:f>
        <x:v>20</x:v>
      </x:c>
      <x:c r="F7" s="20" t="str">
        <x:v>Horas parada y margen perdido</x:v>
      </x:c>
      <x:c r="G7" s="20" t="str">
        <x:v>Auditar registros de producción y costos</x:v>
      </x:c>
      <x:c r="H7" s="20" t="str">
        <x:v>Control de gestión</x:v>
      </x:c>
    </x:row>
    <x:row r="8">
      <x:c r="A8" s="20" t="str">
        <x:v>Tasa de crédito mayor</x:v>
      </x:c>
      <x:c r="B8" s="20" t="str">
        <x:v>Financiero</x:v>
      </x:c>
      <x:c r="C8" s="114" t="n">
        <x:v>3</x:v>
      </x:c>
      <x:c r="D8" s="114" t="n">
        <x:v>3</x:v>
      </x:c>
      <x:c r="E8" s="115" t="n">
        <x:f>C8*D8</x:f>
        <x:v>9</x:v>
      </x:c>
      <x:c r="F8" s="20" t="str">
        <x:v>Tasa efectiva</x:v>
      </x:c>
      <x:c r="G8" s="20" t="str">
        <x:v>Negociar tasa fija y comparar bancos</x:v>
      </x:c>
      <x:c r="H8" s="20" t="str">
        <x:v>Tesorería</x:v>
      </x:c>
    </x:row>
    <x:row r="9">
      <x:c r="A9" s="20" t="str">
        <x:v>Reposición de batería más costosa</x:v>
      </x:c>
      <x:c r="B9" s="20" t="str">
        <x:v>Técnico</x:v>
      </x:c>
      <x:c r="C9" s="114" t="n">
        <x:v>3</x:v>
      </x:c>
      <x:c r="D9" s="114" t="n">
        <x:v>3</x:v>
      </x:c>
      <x:c r="E9" s="115" t="n">
        <x:f>C9*D9</x:f>
        <x:v>9</x:v>
      </x:c>
      <x:c r="F9" s="20" t="str">
        <x:v>Costo por MWh</x:v>
      </x:c>
      <x:c r="G9" s="20" t="str">
        <x:v>Garantía, fondo de reposición y actualización tecnológica</x:v>
      </x:c>
      <x:c r="H9" s="20" t="str">
        <x:v>Ingeniería</x:v>
      </x:c>
    </x:row>
    <x:row r="10">
      <x:c r="A10" s="20" t="str">
        <x:v>Cambios regulatorios eléctricos</x:v>
      </x:c>
      <x:c r="B10" s="20" t="str">
        <x:v>Regulatorio</x:v>
      </x:c>
      <x:c r="C10" s="114" t="n">
        <x:v>2</x:v>
      </x:c>
      <x:c r="D10" s="114" t="n">
        <x:v>4</x:v>
      </x:c>
      <x:c r="E10" s="115" t="n">
        <x:f>C10*D10</x:f>
        <x:v>8</x:v>
      </x:c>
      <x:c r="F10" s="20" t="str">
        <x:v>Normativa aplicable</x:v>
      </x:c>
      <x:c r="G10" s="20" t="str">
        <x:v>Revisión legal y contractual anual</x:v>
      </x:c>
      <x:c r="H10" s="20" t="str">
        <x:v>Legal</x:v>
      </x:c>
    </x:row>
    <x:row r="11">
      <x:c r="A11" s="20" t="str">
        <x:v>Retrasos de permisos/interconexión</x:v>
      </x:c>
      <x:c r="B11" s="20" t="str">
        <x:v>Operativo</x:v>
      </x:c>
      <x:c r="C11" s="114" t="n">
        <x:v>2</x:v>
      </x:c>
      <x:c r="D11" s="114" t="n">
        <x:v>3</x:v>
      </x:c>
      <x:c r="E11" s="115" t="n">
        <x:f>C11*D11</x:f>
        <x:v>6</x:v>
      </x:c>
      <x:c r="F11" s="20" t="str">
        <x:v>Hitos del cronograma</x:v>
      </x:c>
      <x:c r="G11" s="20" t="str">
        <x:v>Gestión temprana de permisos</x:v>
      </x:c>
      <x:c r="H11" s="20" t="str">
        <x:v>Proyecto</x:v>
      </x:c>
    </x:row>
  </x:sheetData>
  <x:mergeCells>
    <x:mergeCell ref="A1:H1"/>
  </x:mergeCells>
  <x:conditionalFormatting sqref="E4:E11">
    <x:cfRule type="colorScale" priority="1">
      <x:colorScale>
        <x:cfvo type="min"/>
        <x:cfvo type="percentile" val="50"/>
        <x:cfvo type="max"/>
        <x:color rgb="FFD9EAD3"/>
        <x:color rgb="FFFFF2CC"/>
        <x:color rgb="FFF4CCCC"/>
      </x:colorScale>
    </x:cfRule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22" hidden="0" customWidth="1"/>
  </x:cols>
  <x:sheetData>
    <x:row r="1" ht="28" customHeight="1">
      <x:c r="A1" s="5" t="str">
        <x:v>HOLCIM ECUADOR — EVALUACIÓN DE INVERSIÓN SOLAR EN LATACUNGA</x:v>
      </x:c>
    </x:row>
    <x:row r="3">
      <x:c r="A3" s="120" t="str">
        <x:v>Decisión: evaluar la instalación de 5 MWp fotovoltaicos y 4 MWh de almacenamiento para reducir costos eléctricos y exposición a interrupciones. Los datos históricos son oficiales; los parámetros técnicos son supuestos académicos identificados.</x:v>
      </x:c>
      <x:c r="B3" s="120"/>
      <x:c r="C3" s="120"/>
      <x:c r="D3" s="120"/>
      <x:c r="E3" s="120"/>
      <x:c r="F3" s="120"/>
      <x:c r="G3" s="120"/>
      <x:c r="H3" s="120"/>
    </x:row>
    <x:row r="4">
      <x:c r="A4" s="120"/>
      <x:c r="B4" s="120"/>
      <x:c r="C4" s="120"/>
      <x:c r="D4" s="120"/>
      <x:c r="E4" s="120"/>
      <x:c r="F4" s="120"/>
      <x:c r="G4" s="120"/>
      <x:c r="H4" s="120"/>
    </x:row>
    <x:row r="6">
      <x:c r="A6" s="131" t="str">
        <x:v>VAN BASE</x:v>
      </x:c>
      <x:c r="B6" s="132"/>
      <x:c r="C6" s="131" t="str">
        <x:v>TIR BASE</x:v>
      </x:c>
      <x:c r="D6" s="132"/>
      <x:c r="E6" s="131" t="str">
        <x:v>BENEFICIO / COSTO</x:v>
      </x:c>
      <x:c r="F6" s="132"/>
      <x:c r="G6" s="131" t="str">
        <x:v>PROB. VAN POSITIVO</x:v>
      </x:c>
      <x:c r="H6" s="132"/>
    </x:row>
    <x:row r="7">
      <x:c r="A7" s="170" t="n">
        <x:f>Flujo_Proyecto!B22</x:f>
        <x:v>1022526.6387250014</x:v>
      </x:c>
      <x:c r="B7" s="171"/>
      <x:c r="C7" s="194" t="n">
        <x:v>0.132913</x:v>
      </x:c>
      <x:c r="D7" s="179"/>
      <x:c r="E7" s="216" t="n">
        <x:v>1.1682</x:v>
      </x:c>
      <x:c r="F7" s="187"/>
      <x:c r="G7" s="194" t="n">
        <x:v>0.8576</x:v>
      </x:c>
      <x:c r="H7" s="195"/>
    </x:row>
    <x:row r="8">
      <x:c r="A8" s="172"/>
      <x:c r="B8" s="173"/>
      <x:c r="C8" s="180"/>
      <x:c r="D8" s="181"/>
      <x:c r="E8" s="188"/>
      <x:c r="F8" s="189"/>
      <x:c r="G8" s="196"/>
      <x:c r="H8" s="197"/>
    </x:row>
    <x:row r="10">
      <x:c r="A10" s="48" t="str">
        <x:v>RESULTADOS POR ESCENARIO</x:v>
      </x:c>
    </x:row>
    <x:row r="11">
      <x:c r="A11" s="203" t="str">
        <x:v>Escenario</x:v>
      </x:c>
      <x:c r="B11" s="203" t="str">
        <x:v>VAN (USD)</x:v>
      </x:c>
      <x:c r="C11" s="203" t="str">
        <x:v>TIR</x:v>
      </x:c>
      <x:c r="D11" s="203" t="str">
        <x:v>B/C</x:v>
      </x:c>
      <x:c r="E11" s="203" t="str">
        <x:v>Payback simple</x:v>
      </x:c>
      <x:c r="F11" s="203" t="str">
        <x:v>Payback descontado</x:v>
      </x:c>
      <x:c r="G11" s="203" t="str">
        <x:v>Decisión</x:v>
      </x:c>
    </x:row>
    <x:row r="12">
      <x:c r="A12" t="str">
        <x:v>Optimista</x:v>
      </x:c>
      <x:c r="B12" s="22" t="n">
        <x:v>3491393.17</x:v>
      </x:c>
      <x:c r="C12" s="206" t="n">
        <x:v>0.18545</x:v>
      </x:c>
      <x:c r="D12" s="78" t="n">
        <x:v>1.604</x:v>
      </x:c>
      <x:c r="E12" s="208" t="n">
        <x:v>5.04</x:v>
      </x:c>
      <x:c r="F12" s="208" t="n">
        <x:v>7.07</x:v>
      </x:c>
      <x:c r="G12" t="str">
        <x:v>Aceptar</x:v>
      </x:c>
    </x:row>
    <x:row r="13">
      <x:c r="A13" t="str">
        <x:v>Base</x:v>
      </x:c>
      <x:c r="B13" s="22" t="n">
        <x:v>1022526.64</x:v>
      </x:c>
      <x:c r="C13" s="206" t="n">
        <x:v>0.132913</x:v>
      </x:c>
      <x:c r="D13" s="78" t="n">
        <x:v>1.1682</x:v>
      </x:c>
      <x:c r="E13" s="208" t="n">
        <x:v>6.38</x:v>
      </x:c>
      <x:c r="F13" s="208" t="n">
        <x:v>11.68</x:v>
      </x:c>
      <x:c r="G13" t="str">
        <x:v>Aceptar condicionadamente</x:v>
      </x:c>
    </x:row>
    <x:row r="14">
      <x:c r="A14" t="str">
        <x:v>Pesimista</x:v>
      </x:c>
      <x:c r="B14" s="22" t="n">
        <x:v>-1982419.86</x:v>
      </x:c>
      <x:c r="C14" s="206" t="n">
        <x:v>0.06228</x:v>
      </x:c>
      <x:c r="D14" s="78" t="n">
        <x:v>0.711</x:v>
      </x:c>
      <x:c r="E14" s="208" t="n">
        <x:v>10.45</x:v>
      </x:c>
      <x:c r="F14" s="208"/>
      <x:c r="G14" t="str">
        <x:v>Rechazar / reformular</x:v>
      </x:c>
    </x:row>
    <x:row r="16">
      <x:c r="A16" s="48" t="str">
        <x:v>RECOMENDACIÓN EJECUTIVA</x:v>
      </x:c>
    </x:row>
    <x:row r="17">
      <x:c r="A17" s="212" t="str">
        <x:v>Aceptar el proyecto de forma condicionada. El escenario base crea valor y supera el WACC; sin embargo, la decisión final debe esperar una cotización EPC, un estudio de generación y autoconsumo, y una auditoría del costo real de las interrupciones. Se recomienda financiar 70% con deuda de largo plazo y 30% con patrimonio, evitando presión adicional sobre la liquidez corriente.</x:v>
      </x:c>
      <x:c r="B17" s="212"/>
      <x:c r="C17" s="212"/>
      <x:c r="D17" s="212"/>
      <x:c r="E17" s="212"/>
      <x:c r="F17" s="212"/>
      <x:c r="G17" s="212"/>
      <x:c r="H17" s="212"/>
    </x:row>
    <x:row r="18">
      <x:c r="A18" s="212"/>
      <x:c r="B18" s="212"/>
      <x:c r="C18" s="212"/>
      <x:c r="D18" s="212"/>
      <x:c r="E18" s="212"/>
      <x:c r="F18" s="212"/>
      <x:c r="G18" s="212"/>
      <x:c r="H18" s="212"/>
    </x:row>
    <x:row r="19">
      <x:c r="A19" s="212"/>
      <x:c r="B19" s="212"/>
      <x:c r="C19" s="212"/>
      <x:c r="D19" s="212"/>
      <x:c r="E19" s="212"/>
      <x:c r="F19" s="212"/>
      <x:c r="G19" s="212"/>
      <x:c r="H19" s="212"/>
    </x:row>
    <x:row r="20">
      <x:c r="A20" s="212"/>
      <x:c r="B20" s="212"/>
      <x:c r="C20" s="212"/>
      <x:c r="D20" s="212"/>
      <x:c r="E20" s="212"/>
      <x:c r="F20" s="212"/>
      <x:c r="G20" s="212"/>
      <x:c r="H20" s="212"/>
    </x:row>
    <x:row r="22">
      <x:c r="A22" s="48" t="str">
        <x:v>ALERTAS PRINCIPALES</x:v>
      </x:c>
    </x:row>
    <x:row r="23">
      <x:c r="A23" s="110" t="str">
        <x:v>1) La liquidez corriente fue inferior a 1 en 2023–2025.  2) El ahorro por continuidad operativa es el supuesto de mayor impacto.  3) En el escenario pesimista el VAN es negativo.  4) El DCF empresarial es académico y no equivale a precio de mercado.</x:v>
      </x:c>
      <x:c r="B23" s="110"/>
      <x:c r="C23" s="110"/>
      <x:c r="D23" s="110"/>
      <x:c r="E23" s="110"/>
      <x:c r="F23" s="110"/>
      <x:c r="G23" s="110"/>
      <x:c r="H23" s="110"/>
    </x:row>
    <x:row r="24">
      <x:c r="A24" s="110"/>
      <x:c r="B24" s="110"/>
      <x:c r="C24" s="110"/>
      <x:c r="D24" s="110"/>
      <x:c r="E24" s="110"/>
      <x:c r="F24" s="110"/>
      <x:c r="G24" s="110"/>
      <x:c r="H24" s="110"/>
    </x:row>
    <x:row r="25">
      <x:c r="A25" s="110"/>
      <x:c r="B25" s="110"/>
      <x:c r="C25" s="110"/>
      <x:c r="D25" s="110"/>
      <x:c r="E25" s="110"/>
      <x:c r="F25" s="110"/>
      <x:c r="G25" s="110"/>
      <x:c r="H25" s="110"/>
    </x:row>
  </x:sheetData>
  <x:mergeCells>
    <x:mergeCell ref="A1:H1"/>
    <x:mergeCell ref="A3:H4"/>
    <x:mergeCell ref="A6:B6"/>
    <x:mergeCell ref="C6:D6"/>
    <x:mergeCell ref="E6:F6"/>
    <x:mergeCell ref="G6:H6"/>
    <x:mergeCell ref="A7:B8"/>
    <x:mergeCell ref="C7:D8"/>
    <x:mergeCell ref="E7:F8"/>
    <x:mergeCell ref="G7:H8"/>
    <x:mergeCell ref="A10:H10"/>
    <x:mergeCell ref="A16:H16"/>
    <x:mergeCell ref="A17:H20"/>
    <x:mergeCell ref="A22:H22"/>
    <x:mergeCell ref="A23:H25"/>
  </x:mergeCells>
  <x:pageMargins left="0.7" right="0.7" top="0.75" bottom="0.75" header="0.3" footer="0.3"/>
  <x:drawing xmlns:r="http://schemas.openxmlformats.org/officeDocument/2006/relationships" r:id="R26c062e675b5409b"/>
</x:worksheet>
</file>